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comments1.xml" ContentType="application/vnd.openxmlformats-officedocument.spreadsheetml.comments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f4534cc3eb04a9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0ef3c168b72b4fc7"/>
    <x:sheet xmlns:r="http://schemas.openxmlformats.org/officeDocument/2006/relationships" name="PARAM_DOMAINES" sheetId="2" r:id="R8fc024e8692c43ff"/>
    <x:sheet xmlns:r="http://schemas.openxmlformats.org/officeDocument/2006/relationships" name="PARAM_CRITERES" sheetId="3" r:id="R03281608a7994fe9"/>
    <x:sheet xmlns:r="http://schemas.openxmlformats.org/officeDocument/2006/relationships" name="PARAM_SOUS_CRITERES" sheetId="4" r:id="R927d2a85b6db4140"/>
    <x:sheet xmlns:r="http://schemas.openxmlformats.org/officeDocument/2006/relationships" name="PARAM_SOUS_SOUS_CRITERES" sheetId="5" r:id="Re015ed65f97d4f2c"/>
    <x:sheet xmlns:r="http://schemas.openxmlformats.org/officeDocument/2006/relationships" name="MATRICE_COMPLETE" sheetId="6" r:id="Rb6712fc5504f45b3"/>
    <x:sheet xmlns:r="http://schemas.openxmlformats.org/officeDocument/2006/relationships" name="CONTROLES" sheetId="7" r:id="R0b7ced53a8bc42f3"/>
  </x:sheets>
</x:workbook>
</file>

<file path=xl/comments1.xml><?xml version="1.0" encoding="utf-8"?>
<x:comments xmlns:x="http://schemas.openxmlformats.org/spreadsheetml/2006/main">
  <x:authors>
    <x:author>OpenAI</x:author>
  </x:authors>
  <x:commentList>
    <x:comment ref="O2" authorId="0">
      <x:text>
        <x:r>
          <x:t>Saisir une note de 1 à 10.</x:t>
        </x:r>
      </x:text>
    </x:comment>
    <x:comment ref="P2" authorId="0">
      <x:text>
        <x:r>
          <x:t>Poids global = Poids Domaine × Poids Critère × Poids Sous-critère × Poids Sous-sous-critère.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164" formatCode="0.0%"/>
  </x:numFmts>
  <x:fonts count="6">
    <x:font>
      <x:sz val="11"/>
      <x:color theme="1"/>
      <x:name val="Calibri"/>
      <x:family val="2"/>
      <x:scheme val="minor"/>
    </x:font>
    <x:font>
      <x:b/>
      <x:sz val="14"/>
      <x:color rgb="00FFFFFF"/>
    </x:font>
    <x:font>
      <x:b/>
    </x:font>
    <x:font>
      <x:b/>
      <x:color rgb="00FFFFFF"/>
    </x:font>
    <x:font>
      <x:color rgb="000000FF"/>
    </x:font>
    <x:font>
      <x:color rgb="00000000"/>
    </x:font>
  </x:fonts>
  <x:fills count="3">
    <x:fill>
      <x:patternFill patternType="none"/>
    </x:fill>
    <x:fill>
      <x:patternFill patternType="gray125"/>
    </x:fill>
    <x:fill>
      <x:patternFill patternType="solid">
        <x:fgColor rgb="001F4E78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0">
    <x:xf numFmtId="0" fontId="0" fillId="0" borderId="0" xfId="0"/>
    <x:xf numFmtId="0" fontId="1" fillId="2" borderId="0" xfId="0"/>
    <x:xf numFmtId="0" fontId="2" fillId="0" borderId="0" xfId="0"/>
    <x:xf numFmtId="0" fontId="3" fillId="2" borderId="0" xfId="0" applyAlignment="1">
      <x:alignment horizontal="center" wrapText="1"/>
    </x:xf>
    <x:xf numFmtId="0" fontId="0" fillId="0" borderId="0" xfId="0" applyAlignment="1">
      <x:alignment vertical="top" wrapText="1"/>
    </x:xf>
    <x:xf numFmtId="164" fontId="0" fillId="0" borderId="0" xfId="0" applyAlignment="1">
      <x:alignment vertical="top" wrapText="1"/>
    </x:xf>
    <x:xf numFmtId="0" fontId="4" fillId="0" borderId="0" xfId="0" applyAlignment="1">
      <x:alignment vertical="top" wrapText="1"/>
    </x:xf>
    <x:xf numFmtId="0" fontId="5" fillId="0" borderId="0" xfId="0" applyAlignment="1">
      <x:alignment vertical="top" wrapText="1"/>
    </x:xf>
    <x:xf numFmtId="0" fontId="3" fillId="2" borderId="0" xfId="0"/>
    <x:xf numFmtId="164" fontId="0" fillId="0" borderId="0" xfId="0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b8d4a6286284eb6" /><Relationship Type="http://schemas.openxmlformats.org/officeDocument/2006/relationships/theme" Target="/xl/theme/theme1.xml" Id="Rca463038e3ef456a" /><Relationship Type="http://schemas.openxmlformats.org/officeDocument/2006/relationships/sharedStrings" Target="/xl/sharedStrings.xml" Id="R0b399ddae27a4f58" /><Relationship Type="http://schemas.openxmlformats.org/officeDocument/2006/relationships/worksheet" Target="/xl/worksheets/sheet1.xml" Id="R0ef3c168b72b4fc7" /><Relationship Type="http://schemas.openxmlformats.org/officeDocument/2006/relationships/worksheet" Target="/xl/worksheets/sheet2.xml" Id="R8fc024e8692c43ff" /><Relationship Type="http://schemas.openxmlformats.org/officeDocument/2006/relationships/worksheet" Target="/xl/worksheets/sheet3.xml" Id="R03281608a7994fe9" /><Relationship Type="http://schemas.openxmlformats.org/officeDocument/2006/relationships/worksheet" Target="/xl/worksheets/sheet4.xml" Id="R927d2a85b6db4140" /><Relationship Type="http://schemas.openxmlformats.org/officeDocument/2006/relationships/worksheet" Target="/xl/worksheets/sheet5.xml" Id="Re015ed65f97d4f2c" /><Relationship Type="http://schemas.openxmlformats.org/officeDocument/2006/relationships/worksheet" Target="/xl/worksheets/sheet6.xml" Id="Rb6712fc5504f45b3" /><Relationship Type="http://schemas.openxmlformats.org/officeDocument/2006/relationships/worksheet" Target="/xl/worksheets/sheet7.xml" Id="R0b7ced53a8bc42f3" /><Relationship Type="http://schemas.microsoft.com/office/2017/10/relationships/person" Target="/xl/persons/person.xml" Id="Ra36b09c9a5cd4c55" /></Relationships>
</file>

<file path=xl/persons/person.xml><?xml version="1.0" encoding="utf-8"?>
<xltc:personList xmlns:xltc="http://schemas.microsoft.com/office/spreadsheetml/2018/threadedcomments">
  <xltc:person displayName="OpenAI" id="{83CEC93D-CE8A-B8D1-93C2-0AB0A9F5381B}"/>
</xltc:personList>
</file>

<file path=xl/tables/table1.xml><?xml version="1.0" encoding="utf-8"?>
<x:table xmlns:x="http://schemas.openxmlformats.org/spreadsheetml/2006/main" id="1" name="PARAM_DOMAINES" displayName="PARAM_DOMAINES" ref="A1:C10" headerRowCount="1">
  <x:autoFilter ref="A1:C10"/>
  <x:tableColumns count="3">
    <x:tableColumn id="1" name="DomainCode"/>
    <x:tableColumn id="2" name="Domaine"/>
    <x:tableColumn id="3" name="Poids Domaine"/>
  </x:tableColumns>
  <x:tableStyleInfo name="TableStyleMedium2" showRowStripes="1"/>
</x:table>
</file>

<file path=xl/tables/table2.xml><?xml version="1.0" encoding="utf-8"?>
<x:table xmlns:x="http://schemas.openxmlformats.org/spreadsheetml/2006/main" id="2" name="PARAM_CRITERES" displayName="PARAM_CRITERES" ref="A1:D27" headerRowCount="1">
  <x:autoFilter ref="A1:D27"/>
  <x:tableColumns count="4">
    <x:tableColumn id="1" name="DomainCode"/>
    <x:tableColumn id="2" name="CritCode"/>
    <x:tableColumn id="3" name="Critère"/>
    <x:tableColumn id="4" name="Poids Critère dans Domaine"/>
  </x:tableColumns>
  <x:tableStyleInfo name="TableStyleMedium2" showRowStripes="1"/>
</x:table>
</file>

<file path=xl/tables/table3.xml><?xml version="1.0" encoding="utf-8"?>
<x:table xmlns:x="http://schemas.openxmlformats.org/spreadsheetml/2006/main" id="3" name="PARAM_SOUS_CRITERES" displayName="PARAM_SOUS_CRITERES" ref="A1:D60" headerRowCount="1">
  <x:autoFilter ref="A1:D60"/>
  <x:tableColumns count="4">
    <x:tableColumn id="1" name="CritCode"/>
    <x:tableColumn id="2" name="SousCritCode"/>
    <x:tableColumn id="3" name="Sous-critère"/>
    <x:tableColumn id="4" name="Poids Sous-critère dans Critère"/>
  </x:tableColumns>
  <x:tableStyleInfo name="TableStyleMedium2" showRowStripes="1"/>
</x:table>
</file>

<file path=xl/tables/table4.xml><?xml version="1.0" encoding="utf-8"?>
<x:table xmlns:x="http://schemas.openxmlformats.org/spreadsheetml/2006/main" id="4" name="PARAM_SOUS_SOUS_CRITERES" displayName="PARAM_SOUS_SOUS_CRITERES" ref="A1:F178" headerRowCount="1">
  <x:autoFilter ref="A1:F178"/>
  <x:tableColumns count="6">
    <x:tableColumn id="1" name="SousCritCode"/>
    <x:tableColumn id="2" name="SousSousCritCode"/>
    <x:tableColumn id="3" name="Sous-sous-critère"/>
    <x:tableColumn id="4" name="Poids dans Sous-critère"/>
    <x:tableColumn id="5" name="Note /10"/>
    <x:tableColumn id="6" name="Score simple"/>
  </x:tableColumns>
  <x:tableStyleInfo name="TableStyleMedium2" showRowStripes="1"/>
</x:table>
</file>

<file path=xl/tables/table5.xml><?xml version="1.0" encoding="utf-8"?>
<x:table xmlns:x="http://schemas.openxmlformats.org/spreadsheetml/2006/main" id="5" name="MATRICE_COMPLETE" displayName="MATRICE_COMPLETE" ref="A1:Q178" headerRowCount="1">
  <x:autoFilter ref="A1:Q178"/>
  <x:tableColumns count="17">
    <x:tableColumn id="1" name="DomainCode"/>
    <x:tableColumn id="2" name="Domaine"/>
    <x:tableColumn id="3" name="Poids Domaine"/>
    <x:tableColumn id="4" name="CritCode"/>
    <x:tableColumn id="5" name="Critère"/>
    <x:tableColumn id="6" name="Poids Critère"/>
    <x:tableColumn id="7" name="SousCritCode"/>
    <x:tableColumn id="8" name="Sous-critère"/>
    <x:tableColumn id="9" name="Poids Sous-critère"/>
    <x:tableColumn id="10" name="SousSousCritCode"/>
    <x:tableColumn id="11" name="Sous-sous-critère"/>
    <x:tableColumn id="12" name="Poids Sous-sous-critère"/>
    <x:tableColumn id="13" name="Source documentaire indicative"/>
    <x:tableColumn id="14" name="Évidence attendue"/>
    <x:tableColumn id="15" name="Note /10"/>
    <x:tableColumn id="16" name="Poids global"/>
    <x:tableColumn id="17" name="Score pondéré"/>
  </x:tableColumns>
  <x:tableStyleInfo name="TableStyleMedium2" showRowStripes="1"/>
</x:table>
</file>

<file path=xl/tables/table6.xml><?xml version="1.0" encoding="utf-8"?>
<x:table xmlns:x="http://schemas.openxmlformats.org/spreadsheetml/2006/main" id="6" name="CONTROLES_TABLE" displayName="CONTROLES_TABLE" ref="A3:G98" headerRowCount="1">
  <x:autoFilter ref="A3:G98"/>
  <x:tableColumns count="7">
    <x:tableColumn id="1" name="Niveau"/>
    <x:tableColumn id="2" name="Code parent"/>
    <x:tableColumn id="3" name="Libellé parent"/>
    <x:tableColumn id="4" name="Somme des poids"/>
    <x:tableColumn id="5" name="Attendu"/>
    <x:tableColumn id="6" name="Ecart"/>
    <x:tableColumn id="7" name="Statut"/>
  </x:tableColumns>
  <x:tableStyleInfo name="TableStyleMedium2" showRowStripes="1"/>
</x: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95ebbc6faa3466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794402d7d394cf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4b3031724f84ae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068c7994978408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comments" Target="/xl/comments1.xml" Id="R9d9095ba2c5a4b02" /><Relationship Type="http://schemas.openxmlformats.org/officeDocument/2006/relationships/vmlDrawing" Target="/xl/drawings/vmldrawing.vml" Id="R61a73babdeac4816" /><Relationship Type="http://schemas.openxmlformats.org/officeDocument/2006/relationships/table" Target="/xl/tables/table5.xml" Id="R50e76ba5e15c470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ab760b0d5cf436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2" customWidth="1"/>
    <x:col min="2" max="2" width="120" customWidth="1"/>
  </x:cols>
  <x:sheetData>
    <x:row r="1">
      <x:c r="A1" s="1" t="inlineStr">
        <x:is>
          <x:t xml:space="preserve">Grille de scoring PF V7++ - version Excel ULTRA PRO complète</x:t>
        </x:is>
      </x:c>
    </x:row>
    <x:row r="3">
      <x:c r="A3" s="2" t="inlineStr">
        <x:is>
          <x:t xml:space="preserve">Objet</x:t>
        </x:is>
      </x:c>
      <x:c r="B3" t="inlineStr">
        <x:is>
          <x:t xml:space="preserve">Version enrichie et beaucoup plus complète que le fichier précédent.</x:t>
        </x:is>
      </x:c>
    </x:row>
    <x:row r="4">
      <x:c r="A4" s="2" t="inlineStr">
        <x:is>
          <x:t xml:space="preserve">Structure</x:t>
        </x:is>
      </x:c>
      <x:c r="B4" t="inlineStr">
        <x:is>
          <x:t xml:space="preserve">Domaine &gt; Critère &gt; Sous-critère &gt; Sous-sous-critère.</x:t>
        </x:is>
      </x:c>
    </x:row>
    <x:row r="5">
      <x:c r="A5" s="2" t="inlineStr">
        <x:is>
          <x:t xml:space="preserve">Base</x:t>
        </x:is>
      </x:c>
      <x:c r="B5" t="inlineStr">
        <x:is>
          <x:t xml:space="preserve">Reconstruction fidèle au modèle V7++ déjà travaillé ensemble, avec 9 domaines.</x:t>
        </x:is>
      </x:c>
    </x:row>
    <x:row r="6">
      <x:c r="A6" s="2" t="inlineStr">
        <x:is>
          <x:t xml:space="preserve">Usage</x:t>
        </x:is>
      </x:c>
      <x:c r="B6" t="inlineStr">
        <x:is>
          <x:t xml:space="preserve">Base de paramétrage pour scoring Excel / web app / dashboard crédit.</x:t>
        </x:is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4" customWidth="1"/>
    <x:col min="2" max="2" width="23" customWidth="1"/>
    <x:col min="3" max="3" width="15" customWidth="1"/>
  </x:cols>
  <x:sheetData>
    <x:row r="1">
      <x:c r="A1" s="3" t="inlineStr">
        <x:is>
          <x:t xml:space="preserve">DomainCode</x:t>
        </x:is>
      </x:c>
      <x:c r="B1" s="3" t="inlineStr">
        <x:is>
          <x:t xml:space="preserve">Domaine</x:t>
        </x:is>
      </x:c>
      <x:c r="C1" s="3" t="inlineStr">
        <x:is>
          <x:t xml:space="preserve">Poids Domaine</x:t>
        </x:is>
      </x:c>
    </x:row>
    <x:row r="2">
      <x:c r="A2" s="4" t="inlineStr">
        <x:is>
          <x:t xml:space="preserve">D1</x:t>
        </x:is>
      </x:c>
      <x:c r="B2" s="4" t="inlineStr">
        <x:is>
          <x:t xml:space="preserve">Sponsor &amp; Governance</x:t>
        </x:is>
      </x:c>
      <x:c r="C2" s="5" t="n">
        <x:v>0.15</x:v>
      </x:c>
    </x:row>
    <x:row r="3">
      <x:c r="A3" s="4" t="inlineStr">
        <x:is>
          <x:t xml:space="preserve">D2</x:t>
        </x:is>
      </x:c>
      <x:c r="B3" s="4" t="inlineStr">
        <x:is>
          <x:t xml:space="preserve">Project Fundamentals</x:t>
        </x:is>
      </x:c>
      <x:c r="C3" s="5" t="n">
        <x:v>0.15</x:v>
      </x:c>
    </x:row>
    <x:row r="4">
      <x:c r="A4" s="4" t="inlineStr">
        <x:is>
          <x:t xml:space="preserve">D3</x:t>
        </x:is>
      </x:c>
      <x:c r="B4" s="4" t="inlineStr">
        <x:is>
          <x:t xml:space="preserve">Construction Phase</x:t>
        </x:is>
      </x:c>
      <x:c r="C4" s="5" t="n">
        <x:v>0.15</x:v>
      </x:c>
    </x:row>
    <x:row r="5">
      <x:c r="A5" s="4" t="inlineStr">
        <x:is>
          <x:t xml:space="preserve">D4</x:t>
        </x:is>
      </x:c>
      <x:c r="B5" s="4" t="inlineStr">
        <x:is>
          <x:t xml:space="preserve">Operation Phase</x:t>
        </x:is>
      </x:c>
      <x:c r="C5" s="5" t="n">
        <x:v>0.1</x:v>
      </x:c>
    </x:row>
    <x:row r="6">
      <x:c r="A6" s="4" t="inlineStr">
        <x:is>
          <x:t xml:space="preserve">D5</x:t>
        </x:is>
      </x:c>
      <x:c r="B6" s="4" t="inlineStr">
        <x:is>
          <x:t xml:space="preserve">Financial Structure</x:t>
        </x:is>
      </x:c>
      <x:c r="C6" s="5" t="n">
        <x:v>0.15</x:v>
      </x:c>
    </x:row>
    <x:row r="7">
      <x:c r="A7" s="4" t="inlineStr">
        <x:is>
          <x:t xml:space="preserve">D6</x:t>
        </x:is>
      </x:c>
      <x:c r="B7" s="4" t="inlineStr">
        <x:is>
          <x:t xml:space="preserve">Revenue &amp; Contracts</x:t>
        </x:is>
      </x:c>
      <x:c r="C7" s="5" t="n">
        <x:v>0.1</x:v>
      </x:c>
    </x:row>
    <x:row r="8">
      <x:c r="A8" s="4" t="inlineStr">
        <x:is>
          <x:t xml:space="preserve">D7</x:t>
        </x:is>
      </x:c>
      <x:c r="B8" s="4" t="inlineStr">
        <x:is>
          <x:t xml:space="preserve">Risk Allocation</x:t>
        </x:is>
      </x:c>
      <x:c r="C8" s="5" t="n">
        <x:v>0.1</x:v>
      </x:c>
    </x:row>
    <x:row r="9">
      <x:c r="A9" s="4" t="inlineStr">
        <x:is>
          <x:t xml:space="preserve">D8</x:t>
        </x:is>
      </x:c>
      <x:c r="B9" s="4" t="inlineStr">
        <x:is>
          <x:t xml:space="preserve">Legal &amp; Documentation</x:t>
        </x:is>
      </x:c>
      <x:c r="C9" s="5" t="n">
        <x:v>0.05</x:v>
      </x:c>
    </x:row>
    <x:row r="10">
      <x:c r="A10" s="4" t="inlineStr">
        <x:is>
          <x:t xml:space="preserve">D9</x:t>
        </x:is>
      </x:c>
      <x:c r="B10" s="4" t="inlineStr">
        <x:is>
          <x:t xml:space="preserve">ESG &amp; Climate Risk</x:t>
        </x:is>
      </x:c>
      <x:c r="C10" s="5" t="n">
        <x:v>0.05</x:v>
      </x:c>
    </x:row>
  </x:sheetData>
  <x:pageMargins left="0.7" right="0.7" top="0.75" bottom="0.75" header="0.3" footer="0.3"/>
  <x:tableParts count="1">
    <x:tablePart xmlns:r="http://schemas.openxmlformats.org/officeDocument/2006/relationships" r:id="R195ebbc6faa3466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4" customWidth="1"/>
    <x:col min="2" max="2" width="14" customWidth="1"/>
    <x:col min="3" max="3" width="36" customWidth="1"/>
    <x:col min="4" max="4" width="28" customWidth="1"/>
  </x:cols>
  <x:sheetData>
    <x:row r="1">
      <x:c r="A1" s="3" t="inlineStr">
        <x:is>
          <x:t xml:space="preserve">DomainCode</x:t>
        </x:is>
      </x:c>
      <x:c r="B1" s="3" t="inlineStr">
        <x:is>
          <x:t xml:space="preserve">CritCode</x:t>
        </x:is>
      </x:c>
      <x:c r="C1" s="3" t="inlineStr">
        <x:is>
          <x:t xml:space="preserve">Critère</x:t>
        </x:is>
      </x:c>
      <x:c r="D1" s="3" t="inlineStr">
        <x:is>
          <x:t xml:space="preserve">Poids Critère dans Domaine</x:t>
        </x:is>
      </x:c>
    </x:row>
    <x:row r="2">
      <x:c r="A2" s="4" t="inlineStr">
        <x:is>
          <x:t xml:space="preserve">D1</x:t>
        </x:is>
      </x:c>
      <x:c r="B2" s="4" t="inlineStr">
        <x:is>
          <x:t xml:space="preserve">D1_C1</x:t>
        </x:is>
      </x:c>
      <x:c r="C2" s="4" t="inlineStr">
        <x:is>
          <x:t xml:space="preserve">Sponsor Strength &amp; Commitment</x:t>
        </x:is>
      </x:c>
      <x:c r="D2" s="5" t="n">
        <x:v>0.4</x:v>
      </x:c>
    </x:row>
    <x:row r="3">
      <x:c r="A3" s="4" t="inlineStr">
        <x:is>
          <x:t xml:space="preserve">D1</x:t>
        </x:is>
      </x:c>
      <x:c r="B3" s="4" t="inlineStr">
        <x:is>
          <x:t xml:space="preserve">D1_C2</x:t>
        </x:is>
      </x:c>
      <x:c r="C3" s="4" t="inlineStr">
        <x:is>
          <x:t xml:space="preserve">Track Record</x:t>
        </x:is>
      </x:c>
      <x:c r="D3" s="5" t="n">
        <x:v>0.35</x:v>
      </x:c>
    </x:row>
    <x:row r="4">
      <x:c r="A4" s="4" t="inlineStr">
        <x:is>
          <x:t xml:space="preserve">D1</x:t>
        </x:is>
      </x:c>
      <x:c r="B4" s="4" t="inlineStr">
        <x:is>
          <x:t xml:space="preserve">D1_C3</x:t>
        </x:is>
      </x:c>
      <x:c r="C4" s="4" t="inlineStr">
        <x:is>
          <x:t xml:space="preserve">Governance &amp; Transparency</x:t>
        </x:is>
      </x:c>
      <x:c r="D4" s="5" t="n">
        <x:v>0.25</x:v>
      </x:c>
    </x:row>
    <x:row r="5">
      <x:c r="A5" s="4" t="inlineStr">
        <x:is>
          <x:t xml:space="preserve">D2</x:t>
        </x:is>
      </x:c>
      <x:c r="B5" s="4" t="inlineStr">
        <x:is>
          <x:t xml:space="preserve">D2_C1</x:t>
        </x:is>
      </x:c>
      <x:c r="C5" s="4" t="inlineStr">
        <x:is>
          <x:t xml:space="preserve">Market &amp; Strategic Positioning</x:t>
        </x:is>
      </x:c>
      <x:c r="D5" s="5" t="n">
        <x:v>0.4</x:v>
      </x:c>
    </x:row>
    <x:row r="6">
      <x:c r="A6" s="4" t="inlineStr">
        <x:is>
          <x:t xml:space="preserve">D2</x:t>
        </x:is>
      </x:c>
      <x:c r="B6" s="4" t="inlineStr">
        <x:is>
          <x:t xml:space="preserve">D2_C2</x:t>
        </x:is>
      </x:c>
      <x:c r="C6" s="4" t="inlineStr">
        <x:is>
          <x:t xml:space="preserve">Technical &amp; Site Fundamentals</x:t>
        </x:is>
      </x:c>
      <x:c r="D6" s="5" t="n">
        <x:v>0.35</x:v>
      </x:c>
    </x:row>
    <x:row r="7">
      <x:c r="A7" s="4" t="inlineStr">
        <x:is>
          <x:t xml:space="preserve">D2</x:t>
        </x:is>
      </x:c>
      <x:c r="B7" s="4" t="inlineStr">
        <x:is>
          <x:t xml:space="preserve">D2_C3</x:t>
        </x:is>
      </x:c>
      <x:c r="C7" s="4" t="inlineStr">
        <x:is>
          <x:t xml:space="preserve">Permits &amp; Readiness</x:t>
        </x:is>
      </x:c>
      <x:c r="D7" s="5" t="n">
        <x:v>0.25</x:v>
      </x:c>
    </x:row>
    <x:row r="8">
      <x:c r="A8" s="4" t="inlineStr">
        <x:is>
          <x:t xml:space="preserve">D3</x:t>
        </x:is>
      </x:c>
      <x:c r="B8" s="4" t="inlineStr">
        <x:is>
          <x:t xml:space="preserve">D3_C1</x:t>
        </x:is>
      </x:c>
      <x:c r="C8" s="4" t="inlineStr">
        <x:is>
          <x:t xml:space="preserve">EPC Completion Risk</x:t>
        </x:is>
      </x:c>
      <x:c r="D8" s="5" t="n">
        <x:v>0.45</x:v>
      </x:c>
    </x:row>
    <x:row r="9">
      <x:c r="A9" s="4" t="inlineStr">
        <x:is>
          <x:t xml:space="preserve">D3</x:t>
        </x:is>
      </x:c>
      <x:c r="B9" s="4" t="inlineStr">
        <x:is>
          <x:t xml:space="preserve">D3_C2</x:t>
        </x:is>
      </x:c>
      <x:c r="C9" s="4" t="inlineStr">
        <x:is>
          <x:t xml:space="preserve">Execution &amp; Interface Risk</x:t>
        </x:is>
      </x:c>
      <x:c r="D9" s="5" t="n">
        <x:v>0.35</x:v>
      </x:c>
    </x:row>
    <x:row r="10">
      <x:c r="A10" s="4" t="inlineStr">
        <x:is>
          <x:t xml:space="preserve">D3</x:t>
        </x:is>
      </x:c>
      <x:c r="B10" s="4" t="inlineStr">
        <x:is>
          <x:t xml:space="preserve">D3_C3</x:t>
        </x:is>
      </x:c>
      <x:c r="C10" s="4" t="inlineStr">
        <x:is>
          <x:t xml:space="preserve">Insurance &amp; HSE During Construction</x:t>
        </x:is>
      </x:c>
      <x:c r="D10" s="5" t="n">
        <x:v>0.2</x:v>
      </x:c>
    </x:row>
    <x:row r="11">
      <x:c r="A11" s="4" t="inlineStr">
        <x:is>
          <x:t xml:space="preserve">D4</x:t>
        </x:is>
      </x:c>
      <x:c r="B11" s="4" t="inlineStr">
        <x:is>
          <x:t xml:space="preserve">D4_C1</x:t>
        </x:is>
      </x:c>
      <x:c r="C11" s="4" t="inlineStr">
        <x:is>
          <x:t xml:space="preserve">Operations &amp; Maintenance</x:t>
        </x:is>
      </x:c>
      <x:c r="D11" s="5" t="n">
        <x:v>0.5</x:v>
      </x:c>
    </x:row>
    <x:row r="12">
      <x:c r="A12" s="4" t="inlineStr">
        <x:is>
          <x:t xml:space="preserve">D4</x:t>
        </x:is>
      </x:c>
      <x:c r="B12" s="4" t="inlineStr">
        <x:is>
          <x:t xml:space="preserve">D4_C2</x:t>
        </x:is>
      </x:c>
      <x:c r="C12" s="4" t="inlineStr">
        <x:is>
          <x:t xml:space="preserve">Operational Resilience</x:t>
        </x:is>
      </x:c>
      <x:c r="D12" s="5" t="n">
        <x:v>0.3</x:v>
      </x:c>
    </x:row>
    <x:row r="13">
      <x:c r="A13" s="4" t="inlineStr">
        <x:is>
          <x:t xml:space="preserve">D4</x:t>
        </x:is>
      </x:c>
      <x:c r="B13" s="4" t="inlineStr">
        <x:is>
          <x:t xml:space="preserve">D4_C3</x:t>
        </x:is>
      </x:c>
      <x:c r="C13" s="4" t="inlineStr">
        <x:is>
          <x:t xml:space="preserve">Operational Insurance</x:t>
        </x:is>
      </x:c>
      <x:c r="D13" s="5" t="n">
        <x:v>0.2</x:v>
      </x:c>
    </x:row>
    <x:row r="14">
      <x:c r="A14" s="4" t="inlineStr">
        <x:is>
          <x:t xml:space="preserve">D5</x:t>
        </x:is>
      </x:c>
      <x:c r="B14" s="4" t="inlineStr">
        <x:is>
          <x:t xml:space="preserve">D5_C1</x:t>
        </x:is>
      </x:c>
      <x:c r="C14" s="4" t="inlineStr">
        <x:is>
          <x:t xml:space="preserve">Leverage &amp; Capital Structure</x:t>
        </x:is>
      </x:c>
      <x:c r="D14" s="5" t="n">
        <x:v>0.35</x:v>
      </x:c>
    </x:row>
    <x:row r="15">
      <x:c r="A15" s="4" t="inlineStr">
        <x:is>
          <x:t xml:space="preserve">D5</x:t>
        </x:is>
      </x:c>
      <x:c r="B15" s="4" t="inlineStr">
        <x:is>
          <x:t xml:space="preserve">D5_C2</x:t>
        </x:is>
      </x:c>
      <x:c r="C15" s="4" t="inlineStr">
        <x:is>
          <x:t xml:space="preserve">Cash Flow Coverage</x:t>
        </x:is>
      </x:c>
      <x:c r="D15" s="5" t="n">
        <x:v>0.4</x:v>
      </x:c>
    </x:row>
    <x:row r="16">
      <x:c r="A16" s="4" t="inlineStr">
        <x:is>
          <x:t xml:space="preserve">D5</x:t>
        </x:is>
      </x:c>
      <x:c r="B16" s="4" t="inlineStr">
        <x:is>
          <x:t xml:space="preserve">D5_C3</x:t>
        </x:is>
      </x:c>
      <x:c r="C16" s="4" t="inlineStr">
        <x:is>
          <x:t xml:space="preserve">Financial Flexibility &amp; Covenants</x:t>
        </x:is>
      </x:c>
      <x:c r="D16" s="5" t="n">
        <x:v>0.25</x:v>
      </x:c>
    </x:row>
    <x:row r="17">
      <x:c r="A17" s="4" t="inlineStr">
        <x:is>
          <x:t xml:space="preserve">D6</x:t>
        </x:is>
      </x:c>
      <x:c r="B17" s="4" t="inlineStr">
        <x:is>
          <x:t xml:space="preserve">D6_C1</x:t>
        </x:is>
      </x:c>
      <x:c r="C17" s="4" t="inlineStr">
        <x:is>
          <x:t xml:space="preserve">Revenue Quality</x:t>
        </x:is>
      </x:c>
      <x:c r="D17" s="5" t="n">
        <x:v>0.45</x:v>
      </x:c>
    </x:row>
    <x:row r="18">
      <x:c r="A18" s="4" t="inlineStr">
        <x:is>
          <x:t xml:space="preserve">D6</x:t>
        </x:is>
      </x:c>
      <x:c r="B18" s="4" t="inlineStr">
        <x:is>
          <x:t xml:space="preserve">D6_C2</x:t>
        </x:is>
      </x:c>
      <x:c r="C18" s="4" t="inlineStr">
        <x:is>
          <x:t xml:space="preserve">Contractual Robustness</x:t>
        </x:is>
      </x:c>
      <x:c r="D18" s="5" t="n">
        <x:v>0.35</x:v>
      </x:c>
    </x:row>
    <x:row r="19">
      <x:c r="A19" s="4" t="inlineStr">
        <x:is>
          <x:t xml:space="preserve">D6</x:t>
        </x:is>
      </x:c>
      <x:c r="B19" s="4" t="inlineStr">
        <x:is>
          <x:t xml:space="preserve">D6_C3</x:t>
        </x:is>
      </x:c>
      <x:c r="C19" s="4" t="inlineStr">
        <x:is>
          <x:t xml:space="preserve">Supply Contracts</x:t>
        </x:is>
      </x:c>
      <x:c r="D19" s="5" t="n">
        <x:v>0.2</x:v>
      </x:c>
    </x:row>
    <x:row r="20">
      <x:c r="A20" s="4" t="inlineStr">
        <x:is>
          <x:t xml:space="preserve">D7</x:t>
        </x:is>
      </x:c>
      <x:c r="B20" s="4" t="inlineStr">
        <x:is>
          <x:t xml:space="preserve">D7_C1</x:t>
        </x:is>
      </x:c>
      <x:c r="C20" s="4" t="inlineStr">
        <x:is>
          <x:t xml:space="preserve">Allocation Efficiency</x:t>
        </x:is>
      </x:c>
      <x:c r="D20" s="5" t="n">
        <x:v>0.6</x:v>
      </x:c>
    </x:row>
    <x:row r="21">
      <x:c r="A21" s="4" t="inlineStr">
        <x:is>
          <x:t xml:space="preserve">D7</x:t>
        </x:is>
      </x:c>
      <x:c r="B21" s="4" t="inlineStr">
        <x:is>
          <x:t xml:space="preserve">D7_C2</x:t>
        </x:is>
      </x:c>
      <x:c r="C21" s="4" t="inlineStr">
        <x:is>
          <x:t xml:space="preserve">Residual Risk to Lenders</x:t>
        </x:is>
      </x:c>
      <x:c r="D21" s="5" t="n">
        <x:v>0.4</x:v>
      </x:c>
    </x:row>
    <x:row r="22">
      <x:c r="A22" s="4" t="inlineStr">
        <x:is>
          <x:t xml:space="preserve">D8</x:t>
        </x:is>
      </x:c>
      <x:c r="B22" s="4" t="inlineStr">
        <x:is>
          <x:t xml:space="preserve">D8_C1</x:t>
        </x:is>
      </x:c>
      <x:c r="C22" s="4" t="inlineStr">
        <x:is>
          <x:t xml:space="preserve">Documentation Completeness</x:t>
        </x:is>
      </x:c>
      <x:c r="D22" s="5" t="n">
        <x:v>0.45</x:v>
      </x:c>
    </x:row>
    <x:row r="23">
      <x:c r="A23" s="4" t="inlineStr">
        <x:is>
          <x:t xml:space="preserve">D8</x:t>
        </x:is>
      </x:c>
      <x:c r="B23" s="4" t="inlineStr">
        <x:is>
          <x:t xml:space="preserve">D8_C2</x:t>
        </x:is>
      </x:c>
      <x:c r="C23" s="4" t="inlineStr">
        <x:is>
          <x:t xml:space="preserve">Legal Robustness</x:t>
        </x:is>
      </x:c>
      <x:c r="D23" s="5" t="n">
        <x:v>0.35</x:v>
      </x:c>
    </x:row>
    <x:row r="24">
      <x:c r="A24" s="4" t="inlineStr">
        <x:is>
          <x:t xml:space="preserve">D8</x:t>
        </x:is>
      </x:c>
      <x:c r="B24" s="4" t="inlineStr">
        <x:is>
          <x:t xml:space="preserve">D8_C3</x:t>
        </x:is>
      </x:c>
      <x:c r="C24" s="4" t="inlineStr">
        <x:is>
          <x:t xml:space="preserve">Regulatory Compliance</x:t>
        </x:is>
      </x:c>
      <x:c r="D24" s="5" t="n">
        <x:v>0.2</x:v>
      </x:c>
    </x:row>
    <x:row r="25">
      <x:c r="A25" s="4" t="inlineStr">
        <x:is>
          <x:t xml:space="preserve">D9</x:t>
        </x:is>
      </x:c>
      <x:c r="B25" s="4" t="inlineStr">
        <x:is>
          <x:t xml:space="preserve">D9_C1</x:t>
        </x:is>
      </x:c>
      <x:c r="C25" s="4" t="inlineStr">
        <x:is>
          <x:t xml:space="preserve">Environmental &amp; Climate Exposure</x:t>
        </x:is>
      </x:c>
      <x:c r="D25" s="5" t="n">
        <x:v>0.4</x:v>
      </x:c>
    </x:row>
    <x:row r="26">
      <x:c r="A26" s="4" t="inlineStr">
        <x:is>
          <x:t xml:space="preserve">D9</x:t>
        </x:is>
      </x:c>
      <x:c r="B26" s="4" t="inlineStr">
        <x:is>
          <x:t xml:space="preserve">D9_C2</x:t>
        </x:is>
      </x:c>
      <x:c r="C26" s="4" t="inlineStr">
        <x:is>
          <x:t xml:space="preserve">Social &amp; Stakeholder Risk</x:t>
        </x:is>
      </x:c>
      <x:c r="D26" s="5" t="n">
        <x:v>0.3</x:v>
      </x:c>
    </x:row>
    <x:row r="27">
      <x:c r="A27" s="4" t="inlineStr">
        <x:is>
          <x:t xml:space="preserve">D9</x:t>
        </x:is>
      </x:c>
      <x:c r="B27" s="4" t="inlineStr">
        <x:is>
          <x:t xml:space="preserve">D9_C3</x:t>
        </x:is>
      </x:c>
      <x:c r="C27" s="4" t="inlineStr">
        <x:is>
          <x:t xml:space="preserve">ESG Governance</x:t>
        </x:is>
      </x:c>
      <x:c r="D27" s="5" t="n">
        <x:v>0.3</x:v>
      </x:c>
    </x:row>
  </x:sheetData>
  <x:pageMargins left="0.7" right="0.7" top="0.75" bottom="0.75" header="0.3" footer="0.3"/>
  <x:tableParts count="1">
    <x:tablePart xmlns:r="http://schemas.openxmlformats.org/officeDocument/2006/relationships" r:id="Rd794402d7d394cf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4" customWidth="1"/>
    <x:col min="2" max="2" width="14" customWidth="1"/>
    <x:col min="3" max="3" width="32" customWidth="1"/>
    <x:col min="4" max="4" width="33" customWidth="1"/>
  </x:cols>
  <x:sheetData>
    <x:row r="1">
      <x:c r="A1" s="3" t="inlineStr">
        <x:is>
          <x:t xml:space="preserve">CritCode</x:t>
        </x:is>
      </x:c>
      <x:c r="B1" s="3" t="inlineStr">
        <x:is>
          <x:t xml:space="preserve">SousCritCode</x:t>
        </x:is>
      </x:c>
      <x:c r="C1" s="3" t="inlineStr">
        <x:is>
          <x:t xml:space="preserve">Sous-critère</x:t>
        </x:is>
      </x:c>
      <x:c r="D1" s="3" t="inlineStr">
        <x:is>
          <x:t xml:space="preserve">Poids Sous-critère dans Critère</x:t>
        </x:is>
      </x:c>
    </x:row>
    <x:row r="2">
      <x:c r="A2" s="4" t="inlineStr">
        <x:is>
          <x:t xml:space="preserve">D1_C1</x:t>
        </x:is>
      </x:c>
      <x:c r="B2" s="4" t="inlineStr">
        <x:is>
          <x:t xml:space="preserve">D1_SC1</x:t>
        </x:is>
      </x:c>
      <x:c r="C2" s="4" t="inlineStr">
        <x:is>
          <x:t xml:space="preserve">Shareholding &amp; support</x:t>
        </x:is>
      </x:c>
      <x:c r="D2" s="5" t="n">
        <x:v>0.35</x:v>
      </x:c>
    </x:row>
    <x:row r="3">
      <x:c r="A3" s="4" t="inlineStr">
        <x:is>
          <x:t xml:space="preserve">D1_C1</x:t>
        </x:is>
      </x:c>
      <x:c r="B3" s="4" t="inlineStr">
        <x:is>
          <x:t xml:space="preserve">D1_SC2</x:t>
        </x:is>
      </x:c>
      <x:c r="C3" s="4" t="inlineStr">
        <x:is>
          <x:t xml:space="preserve">Financial capacity</x:t>
        </x:is>
      </x:c>
      <x:c r="D3" s="5" t="n">
        <x:v>0.35</x:v>
      </x:c>
    </x:row>
    <x:row r="4">
      <x:c r="A4" s="4" t="inlineStr">
        <x:is>
          <x:t xml:space="preserve">D1_C1</x:t>
        </x:is>
      </x:c>
      <x:c r="B4" s="4" t="inlineStr">
        <x:is>
          <x:t xml:space="preserve">D1_SC3</x:t>
        </x:is>
      </x:c>
      <x:c r="C4" s="4" t="inlineStr">
        <x:is>
          <x:t xml:space="preserve">Commitment</x:t>
        </x:is>
      </x:c>
      <x:c r="D4" s="5" t="n">
        <x:v>0.3</x:v>
      </x:c>
    </x:row>
    <x:row r="5">
      <x:c r="A5" s="4" t="inlineStr">
        <x:is>
          <x:t xml:space="preserve">D1_C2</x:t>
        </x:is>
      </x:c>
      <x:c r="B5" s="4" t="inlineStr">
        <x:is>
          <x:t xml:space="preserve">D1_SC4</x:t>
        </x:is>
      </x:c>
      <x:c r="C5" s="4" t="inlineStr">
        <x:is>
          <x:t xml:space="preserve">Project development experience</x:t>
        </x:is>
      </x:c>
      <x:c r="D5" s="5" t="n">
        <x:v>0.55</x:v>
      </x:c>
    </x:row>
    <x:row r="6">
      <x:c r="A6" s="4" t="inlineStr">
        <x:is>
          <x:t xml:space="preserve">D1_C2</x:t>
        </x:is>
      </x:c>
      <x:c r="B6" s="4" t="inlineStr">
        <x:is>
          <x:t xml:space="preserve">D1_SC5</x:t>
        </x:is>
      </x:c>
      <x:c r="C6" s="4" t="inlineStr">
        <x:is>
          <x:t xml:space="preserve">Operational track record</x:t>
        </x:is>
      </x:c>
      <x:c r="D6" s="5" t="n">
        <x:v>0.45</x:v>
      </x:c>
    </x:row>
    <x:row r="7">
      <x:c r="A7" s="4" t="inlineStr">
        <x:is>
          <x:t xml:space="preserve">D1_C3</x:t>
        </x:is>
      </x:c>
      <x:c r="B7" s="4" t="inlineStr">
        <x:is>
          <x:t xml:space="preserve">D1_SC6</x:t>
        </x:is>
      </x:c>
      <x:c r="C7" s="4" t="inlineStr">
        <x:is>
          <x:t xml:space="preserve">Governance framework</x:t>
        </x:is>
      </x:c>
      <x:c r="D7" s="5" t="n">
        <x:v>0.5</x:v>
      </x:c>
    </x:row>
    <x:row r="8">
      <x:c r="A8" s="4" t="inlineStr">
        <x:is>
          <x:t xml:space="preserve">D1_C3</x:t>
        </x:is>
      </x:c>
      <x:c r="B8" s="4" t="inlineStr">
        <x:is>
          <x:t xml:space="preserve">D1_SC7</x:t>
        </x:is>
      </x:c>
      <x:c r="C8" s="4" t="inlineStr">
        <x:is>
          <x:t xml:space="preserve">Transparency &amp; reporting</x:t>
        </x:is>
      </x:c>
      <x:c r="D8" s="5" t="n">
        <x:v>0.5</x:v>
      </x:c>
    </x:row>
    <x:row r="9">
      <x:c r="A9" s="4" t="inlineStr">
        <x:is>
          <x:t xml:space="preserve">D2_C1</x:t>
        </x:is>
      </x:c>
      <x:c r="B9" s="4" t="inlineStr">
        <x:is>
          <x:t xml:space="preserve">D2_SC1</x:t>
        </x:is>
      </x:c>
      <x:c r="C9" s="4" t="inlineStr">
        <x:is>
          <x:t xml:space="preserve">Demand fundamentals</x:t>
        </x:is>
      </x:c>
      <x:c r="D9" s="5" t="n">
        <x:v>0.4</x:v>
      </x:c>
    </x:row>
    <x:row r="10">
      <x:c r="A10" s="4" t="inlineStr">
        <x:is>
          <x:t xml:space="preserve">D2_C1</x:t>
        </x:is>
      </x:c>
      <x:c r="B10" s="4" t="inlineStr">
        <x:is>
          <x:t xml:space="preserve">D2_SC2</x:t>
        </x:is>
      </x:c>
      <x:c r="C10" s="4" t="inlineStr">
        <x:is>
          <x:t xml:space="preserve">Competitive position</x:t>
        </x:is>
      </x:c>
      <x:c r="D10" s="5" t="n">
        <x:v>0.35</x:v>
      </x:c>
    </x:row>
    <x:row r="11">
      <x:c r="A11" s="4" t="inlineStr">
        <x:is>
          <x:t xml:space="preserve">D2_C1</x:t>
        </x:is>
      </x:c>
      <x:c r="B11" s="4" t="inlineStr">
        <x:is>
          <x:t xml:space="preserve">D2_SC3</x:t>
        </x:is>
      </x:c>
      <x:c r="C11" s="4" t="inlineStr">
        <x:is>
          <x:t xml:space="preserve">Strategic relevance</x:t>
        </x:is>
      </x:c>
      <x:c r="D11" s="5" t="n">
        <x:v>0.25</x:v>
      </x:c>
    </x:row>
    <x:row r="12">
      <x:c r="A12" s="4" t="inlineStr">
        <x:is>
          <x:t xml:space="preserve">D2_C2</x:t>
        </x:is>
      </x:c>
      <x:c r="B12" s="4" t="inlineStr">
        <x:is>
          <x:t xml:space="preserve">D2_SC4</x:t>
        </x:is>
      </x:c>
      <x:c r="C12" s="4" t="inlineStr">
        <x:is>
          <x:t xml:space="preserve">Technology</x:t>
        </x:is>
      </x:c>
      <x:c r="D12" s="5" t="n">
        <x:v>0.4</x:v>
      </x:c>
    </x:row>
    <x:row r="13">
      <x:c r="A13" s="4" t="inlineStr">
        <x:is>
          <x:t xml:space="preserve">D2_C2</x:t>
        </x:is>
      </x:c>
      <x:c r="B13" s="4" t="inlineStr">
        <x:is>
          <x:t xml:space="preserve">D2_SC5</x:t>
        </x:is>
      </x:c>
      <x:c r="C13" s="4" t="inlineStr">
        <x:is>
          <x:t xml:space="preserve">Site &amp; location</x:t>
        </x:is>
      </x:c>
      <x:c r="D13" s="5" t="n">
        <x:v>0.35</x:v>
      </x:c>
    </x:row>
    <x:row r="14">
      <x:c r="A14" s="4" t="inlineStr">
        <x:is>
          <x:t xml:space="preserve">D2_C2</x:t>
        </x:is>
      </x:c>
      <x:c r="B14" s="4" t="inlineStr">
        <x:is>
          <x:t xml:space="preserve">D2_SC6</x:t>
        </x:is>
      </x:c>
      <x:c r="C14" s="4" t="inlineStr">
        <x:is>
          <x:t xml:space="preserve">Inputs availability</x:t>
        </x:is>
      </x:c>
      <x:c r="D14" s="5" t="n">
        <x:v>0.25</x:v>
      </x:c>
    </x:row>
    <x:row r="15">
      <x:c r="A15" s="4" t="inlineStr">
        <x:is>
          <x:t xml:space="preserve">D2_C3</x:t>
        </x:is>
      </x:c>
      <x:c r="B15" s="4" t="inlineStr">
        <x:is>
          <x:t xml:space="preserve">D2_SC7</x:t>
        </x:is>
      </x:c>
      <x:c r="C15" s="4" t="inlineStr">
        <x:is>
          <x:t xml:space="preserve">Authorizations</x:t>
        </x:is>
      </x:c>
      <x:c r="D15" s="5" t="n">
        <x:v>0.6</x:v>
      </x:c>
    </x:row>
    <x:row r="16">
      <x:c r="A16" s="4" t="inlineStr">
        <x:is>
          <x:t xml:space="preserve">D2_C3</x:t>
        </x:is>
      </x:c>
      <x:c r="B16" s="4" t="inlineStr">
        <x:is>
          <x:t xml:space="preserve">D2_SC8</x:t>
        </x:is>
      </x:c>
      <x:c r="C16" s="4" t="inlineStr">
        <x:is>
          <x:t xml:space="preserve">Project readiness</x:t>
        </x:is>
      </x:c>
      <x:c r="D16" s="5" t="n">
        <x:v>0.4</x:v>
      </x:c>
    </x:row>
    <x:row r="17">
      <x:c r="A17" s="4" t="inlineStr">
        <x:is>
          <x:t xml:space="preserve">D3_C1</x:t>
        </x:is>
      </x:c>
      <x:c r="B17" s="4" t="inlineStr">
        <x:is>
          <x:t xml:space="preserve">D3_SC1</x:t>
        </x:is>
      </x:c>
      <x:c r="C17" s="4" t="inlineStr">
        <x:is>
          <x:t xml:space="preserve">EPC contract structure</x:t>
        </x:is>
      </x:c>
      <x:c r="D17" s="5" t="n">
        <x:v>0.4</x:v>
      </x:c>
    </x:row>
    <x:row r="18">
      <x:c r="A18" s="4" t="inlineStr">
        <x:is>
          <x:t xml:space="preserve">D3_C1</x:t>
        </x:is>
      </x:c>
      <x:c r="B18" s="4" t="inlineStr">
        <x:is>
          <x:t xml:space="preserve">D3_SC2</x:t>
        </x:is>
      </x:c>
      <x:c r="C18" s="4" t="inlineStr">
        <x:is>
          <x:t xml:space="preserve">EPC contractor quality</x:t>
        </x:is>
      </x:c>
      <x:c r="D18" s="5" t="n">
        <x:v>0.35</x:v>
      </x:c>
    </x:row>
    <x:row r="19">
      <x:c r="A19" s="4" t="inlineStr">
        <x:is>
          <x:t xml:space="preserve">D3_C1</x:t>
        </x:is>
      </x:c>
      <x:c r="B19" s="4" t="inlineStr">
        <x:is>
          <x:t xml:space="preserve">D3_SC3</x:t>
        </x:is>
      </x:c>
      <x:c r="C19" s="4" t="inlineStr">
        <x:is>
          <x:t xml:space="preserve">Completion support</x:t>
        </x:is>
      </x:c>
      <x:c r="D19" s="5" t="n">
        <x:v>0.25</x:v>
      </x:c>
    </x:row>
    <x:row r="20">
      <x:c r="A20" s="4" t="inlineStr">
        <x:is>
          <x:t xml:space="preserve">D3_C2</x:t>
        </x:is>
      </x:c>
      <x:c r="B20" s="4" t="inlineStr">
        <x:is>
          <x:t xml:space="preserve">D3_SC4</x:t>
        </x:is>
      </x:c>
      <x:c r="C20" s="4" t="inlineStr">
        <x:is>
          <x:t xml:space="preserve">Schedule risk</x:t>
        </x:is>
      </x:c>
      <x:c r="D20" s="5" t="n">
        <x:v>0.35</x:v>
      </x:c>
    </x:row>
    <x:row r="21">
      <x:c r="A21" s="4" t="inlineStr">
        <x:is>
          <x:t xml:space="preserve">D3_C2</x:t>
        </x:is>
      </x:c>
      <x:c r="B21" s="4" t="inlineStr">
        <x:is>
          <x:t xml:space="preserve">D3_SC5</x:t>
        </x:is>
      </x:c>
      <x:c r="C21" s="4" t="inlineStr">
        <x:is>
          <x:t xml:space="preserve">Cost overrun risk</x:t>
        </x:is>
      </x:c>
      <x:c r="D21" s="5" t="n">
        <x:v>0.35</x:v>
      </x:c>
    </x:row>
    <x:row r="22">
      <x:c r="A22" s="4" t="inlineStr">
        <x:is>
          <x:t xml:space="preserve">D3_C2</x:t>
        </x:is>
      </x:c>
      <x:c r="B22" s="4" t="inlineStr">
        <x:is>
          <x:t xml:space="preserve">D3_SC6</x:t>
        </x:is>
      </x:c>
      <x:c r="C22" s="4" t="inlineStr">
        <x:is>
          <x:t xml:space="preserve">Interfaces &amp; supply chain</x:t>
        </x:is>
      </x:c>
      <x:c r="D22" s="5" t="n">
        <x:v>0.3</x:v>
      </x:c>
    </x:row>
    <x:row r="23">
      <x:c r="A23" s="4" t="inlineStr">
        <x:is>
          <x:t xml:space="preserve">D3_C3</x:t>
        </x:is>
      </x:c>
      <x:c r="B23" s="4" t="inlineStr">
        <x:is>
          <x:t xml:space="preserve">D3_SC7</x:t>
        </x:is>
      </x:c>
      <x:c r="C23" s="4" t="inlineStr">
        <x:is>
          <x:t xml:space="preserve">Insurance</x:t>
        </x:is>
      </x:c>
      <x:c r="D23" s="5" t="n">
        <x:v>0.5</x:v>
      </x:c>
    </x:row>
    <x:row r="24">
      <x:c r="A24" s="4" t="inlineStr">
        <x:is>
          <x:t xml:space="preserve">D3_C3</x:t>
        </x:is>
      </x:c>
      <x:c r="B24" s="4" t="inlineStr">
        <x:is>
          <x:t xml:space="preserve">D3_SC8</x:t>
        </x:is>
      </x:c>
      <x:c r="C24" s="4" t="inlineStr">
        <x:is>
          <x:t xml:space="preserve">HSE</x:t>
        </x:is>
      </x:c>
      <x:c r="D24" s="5" t="n">
        <x:v>0.5</x:v>
      </x:c>
    </x:row>
    <x:row r="25">
      <x:c r="A25" s="4" t="inlineStr">
        <x:is>
          <x:t xml:space="preserve">D4_C1</x:t>
        </x:is>
      </x:c>
      <x:c r="B25" s="4" t="inlineStr">
        <x:is>
          <x:t xml:space="preserve">D4_SC1</x:t>
        </x:is>
      </x:c>
      <x:c r="C25" s="4" t="inlineStr">
        <x:is>
          <x:t xml:space="preserve">Operator quality</x:t>
        </x:is>
      </x:c>
      <x:c r="D25" s="5" t="n">
        <x:v>0.4</x:v>
      </x:c>
    </x:row>
    <x:row r="26">
      <x:c r="A26" s="4" t="inlineStr">
        <x:is>
          <x:t xml:space="preserve">D4_C1</x:t>
        </x:is>
      </x:c>
      <x:c r="B26" s="4" t="inlineStr">
        <x:is>
          <x:t xml:space="preserve">D4_SC2</x:t>
        </x:is>
      </x:c>
      <x:c r="C26" s="4" t="inlineStr">
        <x:is>
          <x:t xml:space="preserve">O&amp;M contract</x:t>
        </x:is>
      </x:c>
      <x:c r="D26" s="5" t="n">
        <x:v>0.35</x:v>
      </x:c>
    </x:row>
    <x:row r="27">
      <x:c r="A27" s="4" t="inlineStr">
        <x:is>
          <x:t xml:space="preserve">D4_C1</x:t>
        </x:is>
      </x:c>
      <x:c r="B27" s="4" t="inlineStr">
        <x:is>
          <x:t xml:space="preserve">D4_SC3</x:t>
        </x:is>
      </x:c>
      <x:c r="C27" s="4" t="inlineStr">
        <x:is>
          <x:t xml:space="preserve">Maintenance regime</x:t>
        </x:is>
      </x:c>
      <x:c r="D27" s="5" t="n">
        <x:v>0.25</x:v>
      </x:c>
    </x:row>
    <x:row r="28">
      <x:c r="A28" s="4" t="inlineStr">
        <x:is>
          <x:t xml:space="preserve">D4_C2</x:t>
        </x:is>
      </x:c>
      <x:c r="B28" s="4" t="inlineStr">
        <x:is>
          <x:t xml:space="preserve">D4_SC4</x:t>
        </x:is>
      </x:c>
      <x:c r="C28" s="4" t="inlineStr">
        <x:is>
          <x:t xml:space="preserve">Performance stability</x:t>
        </x:is>
      </x:c>
      <x:c r="D28" s="5" t="n">
        <x:v>0.5</x:v>
      </x:c>
    </x:row>
    <x:row r="29">
      <x:c r="A29" s="4" t="inlineStr">
        <x:is>
          <x:t xml:space="preserve">D4_C2</x:t>
        </x:is>
      </x:c>
      <x:c r="B29" s="4" t="inlineStr">
        <x:is>
          <x:t xml:space="preserve">D4_SC5</x:t>
        </x:is>
      </x:c>
      <x:c r="C29" s="4" t="inlineStr">
        <x:is>
          <x:t xml:space="preserve">Business continuity</x:t>
        </x:is>
      </x:c>
      <x:c r="D29" s="5" t="n">
        <x:v>0.5</x:v>
      </x:c>
    </x:row>
    <x:row r="30">
      <x:c r="A30" s="4" t="inlineStr">
        <x:is>
          <x:t xml:space="preserve">D4_C3</x:t>
        </x:is>
      </x:c>
      <x:c r="B30" s="4" t="inlineStr">
        <x:is>
          <x:t xml:space="preserve">D4_SC6</x:t>
        </x:is>
      </x:c>
      <x:c r="C30" s="4" t="inlineStr">
        <x:is>
          <x:t xml:space="preserve">Coverage</x:t>
        </x:is>
      </x:c>
      <x:c r="D30" s="5" t="n">
        <x:v>1</x:v>
      </x:c>
    </x:row>
    <x:row r="31">
      <x:c r="A31" s="4" t="inlineStr">
        <x:is>
          <x:t xml:space="preserve">D5_C1</x:t>
        </x:is>
      </x:c>
      <x:c r="B31" s="4" t="inlineStr">
        <x:is>
          <x:t xml:space="preserve">D5_SC1</x:t>
        </x:is>
      </x:c>
      <x:c r="C31" s="4" t="inlineStr">
        <x:is>
          <x:t xml:space="preserve">Capital structure</x:t>
        </x:is>
      </x:c>
      <x:c r="D31" s="5" t="n">
        <x:v>0.5</x:v>
      </x:c>
    </x:row>
    <x:row r="32">
      <x:c r="A32" s="4" t="inlineStr">
        <x:is>
          <x:t xml:space="preserve">D5_C1</x:t>
        </x:is>
      </x:c>
      <x:c r="B32" s="4" t="inlineStr">
        <x:is>
          <x:t xml:space="preserve">D5_SC2</x:t>
        </x:is>
      </x:c>
      <x:c r="C32" s="4" t="inlineStr">
        <x:is>
          <x:t xml:space="preserve">Debt profile</x:t>
        </x:is>
      </x:c>
      <x:c r="D32" s="5" t="n">
        <x:v>0.5</x:v>
      </x:c>
    </x:row>
    <x:row r="33">
      <x:c r="A33" s="4" t="inlineStr">
        <x:is>
          <x:t xml:space="preserve">D5_C2</x:t>
        </x:is>
      </x:c>
      <x:c r="B33" s="4" t="inlineStr">
        <x:is>
          <x:t xml:space="preserve">D5_SC3</x:t>
        </x:is>
      </x:c>
      <x:c r="C33" s="4" t="inlineStr">
        <x:is>
          <x:t xml:space="preserve">Base case coverage</x:t>
        </x:is>
      </x:c>
      <x:c r="D33" s="5" t="n">
        <x:v>0.45</x:v>
      </x:c>
    </x:row>
    <x:row r="34">
      <x:c r="A34" s="4" t="inlineStr">
        <x:is>
          <x:t xml:space="preserve">D5_C2</x:t>
        </x:is>
      </x:c>
      <x:c r="B34" s="4" t="inlineStr">
        <x:is>
          <x:t xml:space="preserve">D5_SC4</x:t>
        </x:is>
      </x:c>
      <x:c r="C34" s="4" t="inlineStr">
        <x:is>
          <x:t xml:space="preserve">Stress resilience</x:t>
        </x:is>
      </x:c>
      <x:c r="D34" s="5" t="n">
        <x:v>0.35</x:v>
      </x:c>
    </x:row>
    <x:row r="35">
      <x:c r="A35" s="4" t="inlineStr">
        <x:is>
          <x:t xml:space="preserve">D5_C2</x:t>
        </x:is>
      </x:c>
      <x:c r="B35" s="4" t="inlineStr">
        <x:is>
          <x:t xml:space="preserve">D5_SC5</x:t>
        </x:is>
      </x:c>
      <x:c r="C35" s="4" t="inlineStr">
        <x:is>
          <x:t xml:space="preserve">Liquidity support</x:t>
        </x:is>
      </x:c>
      <x:c r="D35" s="5" t="n">
        <x:v>0.2</x:v>
      </x:c>
    </x:row>
    <x:row r="36">
      <x:c r="A36" s="4" t="inlineStr">
        <x:is>
          <x:t xml:space="preserve">D5_C3</x:t>
        </x:is>
      </x:c>
      <x:c r="B36" s="4" t="inlineStr">
        <x:is>
          <x:t xml:space="preserve">D5_SC6</x:t>
        </x:is>
      </x:c>
      <x:c r="C36" s="4" t="inlineStr">
        <x:is>
          <x:t xml:space="preserve">Covenants</x:t>
        </x:is>
      </x:c>
      <x:c r="D36" s="5" t="n">
        <x:v>0.5</x:v>
      </x:c>
    </x:row>
    <x:row r="37">
      <x:c r="A37" s="4" t="inlineStr">
        <x:is>
          <x:t xml:space="preserve">D5_C3</x:t>
        </x:is>
      </x:c>
      <x:c r="B37" s="4" t="inlineStr">
        <x:is>
          <x:t xml:space="preserve">D5_SC7</x:t>
        </x:is>
      </x:c>
      <x:c r="C37" s="4" t="inlineStr">
        <x:is>
          <x:t xml:space="preserve">Distribution lock-up</x:t>
        </x:is>
      </x:c>
      <x:c r="D37" s="5" t="n">
        <x:v>0.5</x:v>
      </x:c>
    </x:row>
    <x:row r="38">
      <x:c r="A38" s="4" t="inlineStr">
        <x:is>
          <x:t xml:space="preserve">D6_C1</x:t>
        </x:is>
      </x:c>
      <x:c r="B38" s="4" t="inlineStr">
        <x:is>
          <x:t xml:space="preserve">D6_SC1</x:t>
        </x:is>
      </x:c>
      <x:c r="C38" s="4" t="inlineStr">
        <x:is>
          <x:t xml:space="preserve">Demand/revenue visibility</x:t>
        </x:is>
      </x:c>
      <x:c r="D38" s="5" t="n">
        <x:v>0.4</x:v>
      </x:c>
    </x:row>
    <x:row r="39">
      <x:c r="A39" s="4" t="inlineStr">
        <x:is>
          <x:t xml:space="preserve">D6_C1</x:t>
        </x:is>
      </x:c>
      <x:c r="B39" s="4" t="inlineStr">
        <x:is>
          <x:t xml:space="preserve">D6_SC2</x:t>
        </x:is>
      </x:c>
      <x:c r="C39" s="4" t="inlineStr">
        <x:is>
          <x:t xml:space="preserve">Price stability</x:t>
        </x:is>
      </x:c>
      <x:c r="D39" s="5" t="n">
        <x:v>0.35</x:v>
      </x:c>
    </x:row>
    <x:row r="40">
      <x:c r="A40" s="4" t="inlineStr">
        <x:is>
          <x:t xml:space="preserve">D6_C1</x:t>
        </x:is>
      </x:c>
      <x:c r="B40" s="4" t="inlineStr">
        <x:is>
          <x:t xml:space="preserve">D6_SC3</x:t>
        </x:is>
      </x:c>
      <x:c r="C40" s="4" t="inlineStr">
        <x:is>
          <x:t xml:space="preserve">Counterparty credit quality</x:t>
        </x:is>
      </x:c>
      <x:c r="D40" s="5" t="n">
        <x:v>0.25</x:v>
      </x:c>
    </x:row>
    <x:row r="41">
      <x:c r="A41" s="4" t="inlineStr">
        <x:is>
          <x:t xml:space="preserve">D6_C2</x:t>
        </x:is>
      </x:c>
      <x:c r="B41" s="4" t="inlineStr">
        <x:is>
          <x:t xml:space="preserve">D6_SC4</x:t>
        </x:is>
      </x:c>
      <x:c r="C41" s="4" t="inlineStr">
        <x:is>
          <x:t xml:space="preserve">Offtake/PPA framework</x:t>
        </x:is>
      </x:c>
      <x:c r="D41" s="5" t="n">
        <x:v>0.5</x:v>
      </x:c>
    </x:row>
    <x:row r="42">
      <x:c r="A42" s="4" t="inlineStr">
        <x:is>
          <x:t xml:space="preserve">D6_C2</x:t>
        </x:is>
      </x:c>
      <x:c r="B42" s="4" t="inlineStr">
        <x:is>
          <x:t xml:space="preserve">D6_SC5</x:t>
        </x:is>
      </x:c>
      <x:c r="C42" s="4" t="inlineStr">
        <x:is>
          <x:t xml:space="preserve">Change in law / tariff risk</x:t>
        </x:is>
      </x:c>
      <x:c r="D42" s="5" t="n">
        <x:v>0.5</x:v>
      </x:c>
    </x:row>
    <x:row r="43">
      <x:c r="A43" s="4" t="inlineStr">
        <x:is>
          <x:t xml:space="preserve">D6_C3</x:t>
        </x:is>
      </x:c>
      <x:c r="B43" s="4" t="inlineStr">
        <x:is>
          <x:t xml:space="preserve">D6_SC6</x:t>
        </x:is>
      </x:c>
      <x:c r="C43" s="4" t="inlineStr">
        <x:is>
          <x:t xml:space="preserve">Input supply quality</x:t>
        </x:is>
      </x:c>
      <x:c r="D43" s="5" t="n">
        <x:v>1</x:v>
      </x:c>
    </x:row>
    <x:row r="44">
      <x:c r="A44" s="4" t="inlineStr">
        <x:is>
          <x:t xml:space="preserve">D7_C1</x:t>
        </x:is>
      </x:c>
      <x:c r="B44" s="4" t="inlineStr">
        <x:is>
          <x:t xml:space="preserve">D7_SC1</x:t>
        </x:is>
      </x:c>
      <x:c r="C44" s="4" t="inlineStr">
        <x:is>
          <x:t xml:space="preserve">Construction risks allocation</x:t>
        </x:is>
      </x:c>
      <x:c r="D44" s="5" t="n">
        <x:v>0.35</x:v>
      </x:c>
    </x:row>
    <x:row r="45">
      <x:c r="A45" s="4" t="inlineStr">
        <x:is>
          <x:t xml:space="preserve">D7_C1</x:t>
        </x:is>
      </x:c>
      <x:c r="B45" s="4" t="inlineStr">
        <x:is>
          <x:t xml:space="preserve">D7_SC2</x:t>
        </x:is>
      </x:c>
      <x:c r="C45" s="4" t="inlineStr">
        <x:is>
          <x:t xml:space="preserve">Operating risks allocation</x:t>
        </x:is>
      </x:c>
      <x:c r="D45" s="5" t="n">
        <x:v>0.35</x:v>
      </x:c>
    </x:row>
    <x:row r="46">
      <x:c r="A46" s="4" t="inlineStr">
        <x:is>
          <x:t xml:space="preserve">D7_C1</x:t>
        </x:is>
      </x:c>
      <x:c r="B46" s="4" t="inlineStr">
        <x:is>
          <x:t xml:space="preserve">D7_SC3</x:t>
        </x:is>
      </x:c>
      <x:c r="C46" s="4" t="inlineStr">
        <x:is>
          <x:t xml:space="preserve">External risks allocation</x:t>
        </x:is>
      </x:c>
      <x:c r="D46" s="5" t="n">
        <x:v>0.3</x:v>
      </x:c>
    </x:row>
    <x:row r="47">
      <x:c r="A47" s="4" t="inlineStr">
        <x:is>
          <x:t xml:space="preserve">D7_C2</x:t>
        </x:is>
      </x:c>
      <x:c r="B47" s="4" t="inlineStr">
        <x:is>
          <x:t xml:space="preserve">D7_SC4</x:t>
        </x:is>
      </x:c>
      <x:c r="C47" s="4" t="inlineStr">
        <x:is>
          <x:t xml:space="preserve">Lender protections</x:t>
        </x:is>
      </x:c>
      <x:c r="D47" s="5" t="n">
        <x:v>0.5</x:v>
      </x:c>
    </x:row>
    <x:row r="48">
      <x:c r="A48" s="4" t="inlineStr">
        <x:is>
          <x:t xml:space="preserve">D7_C2</x:t>
        </x:is>
      </x:c>
      <x:c r="B48" s="4" t="inlineStr">
        <x:is>
          <x:t xml:space="preserve">D7_SC5</x:t>
        </x:is>
      </x:c>
      <x:c r="C48" s="4" t="inlineStr">
        <x:is>
          <x:t xml:space="preserve">Residual exposures</x:t>
        </x:is>
      </x:c>
      <x:c r="D48" s="5" t="n">
        <x:v>0.5</x:v>
      </x:c>
    </x:row>
    <x:row r="49">
      <x:c r="A49" s="4" t="inlineStr">
        <x:is>
          <x:t xml:space="preserve">D8_C1</x:t>
        </x:is>
      </x:c>
      <x:c r="B49" s="4" t="inlineStr">
        <x:is>
          <x:t xml:space="preserve">D8_SC1</x:t>
        </x:is>
      </x:c>
      <x:c r="C49" s="4" t="inlineStr">
        <x:is>
          <x:t xml:space="preserve">Core finance docs</x:t>
        </x:is>
      </x:c>
      <x:c r="D49" s="5" t="n">
        <x:v>0.5</x:v>
      </x:c>
    </x:row>
    <x:row r="50">
      <x:c r="A50" s="4" t="inlineStr">
        <x:is>
          <x:t xml:space="preserve">D8_C1</x:t>
        </x:is>
      </x:c>
      <x:c r="B50" s="4" t="inlineStr">
        <x:is>
          <x:t xml:space="preserve">D8_SC2</x:t>
        </x:is>
      </x:c>
      <x:c r="C50" s="4" t="inlineStr">
        <x:is>
          <x:t xml:space="preserve">Project agreements</x:t>
        </x:is>
      </x:c>
      <x:c r="D50" s="5" t="n">
        <x:v>0.5</x:v>
      </x:c>
    </x:row>
    <x:row r="51">
      <x:c r="A51" s="4" t="inlineStr">
        <x:is>
          <x:t xml:space="preserve">D8_C2</x:t>
        </x:is>
      </x:c>
      <x:c r="B51" s="4" t="inlineStr">
        <x:is>
          <x:t xml:space="preserve">D8_SC3</x:t>
        </x:is>
      </x:c>
      <x:c r="C51" s="4" t="inlineStr">
        <x:is>
          <x:t xml:space="preserve">Enforceability</x:t>
        </x:is>
      </x:c>
      <x:c r="D51" s="5" t="n">
        <x:v>0.5</x:v>
      </x:c>
    </x:row>
    <x:row r="52">
      <x:c r="A52" s="4" t="inlineStr">
        <x:is>
          <x:t xml:space="preserve">D8_C2</x:t>
        </x:is>
      </x:c>
      <x:c r="B52" s="4" t="inlineStr">
        <x:is>
          <x:t xml:space="preserve">D8_SC4</x:t>
        </x:is>
      </x:c>
      <x:c r="C52" s="4" t="inlineStr">
        <x:is>
          <x:t xml:space="preserve">Legal due diligence</x:t>
        </x:is>
      </x:c>
      <x:c r="D52" s="5" t="n">
        <x:v>0.5</x:v>
      </x:c>
    </x:row>
    <x:row r="53">
      <x:c r="A53" s="4" t="inlineStr">
        <x:is>
          <x:t xml:space="preserve">D8_C3</x:t>
        </x:is>
      </x:c>
      <x:c r="B53" s="4" t="inlineStr">
        <x:is>
          <x:t xml:space="preserve">D8_SC5</x:t>
        </x:is>
      </x:c>
      <x:c r="C53" s="4" t="inlineStr">
        <x:is>
          <x:t xml:space="preserve">Compliance status</x:t>
        </x:is>
      </x:c>
      <x:c r="D53" s="5" t="n">
        <x:v>1</x:v>
      </x:c>
    </x:row>
    <x:row r="54">
      <x:c r="A54" s="4" t="inlineStr">
        <x:is>
          <x:t xml:space="preserve">D9_C1</x:t>
        </x:is>
      </x:c>
      <x:c r="B54" s="4" t="inlineStr">
        <x:is>
          <x:t xml:space="preserve">D9_SC1</x:t>
        </x:is>
      </x:c>
      <x:c r="C54" s="4" t="inlineStr">
        <x:is>
          <x:t xml:space="preserve">Environmental impact</x:t>
        </x:is>
      </x:c>
      <x:c r="D54" s="5" t="n">
        <x:v>0.4</x:v>
      </x:c>
    </x:row>
    <x:row r="55">
      <x:c r="A55" s="4" t="inlineStr">
        <x:is>
          <x:t xml:space="preserve">D9_C1</x:t>
        </x:is>
      </x:c>
      <x:c r="B55" s="4" t="inlineStr">
        <x:is>
          <x:t xml:space="preserve">D9_SC2</x:t>
        </x:is>
      </x:c>
      <x:c r="C55" s="4" t="inlineStr">
        <x:is>
          <x:t xml:space="preserve">Physical climate risk</x:t>
        </x:is>
      </x:c>
      <x:c r="D55" s="5" t="n">
        <x:v>0.35</x:v>
      </x:c>
    </x:row>
    <x:row r="56">
      <x:c r="A56" s="4" t="inlineStr">
        <x:is>
          <x:t xml:space="preserve">D9_C1</x:t>
        </x:is>
      </x:c>
      <x:c r="B56" s="4" t="inlineStr">
        <x:is>
          <x:t xml:space="preserve">D9_SC3</x:t>
        </x:is>
      </x:c>
      <x:c r="C56" s="4" t="inlineStr">
        <x:is>
          <x:t xml:space="preserve">Transition risk</x:t>
        </x:is>
      </x:c>
      <x:c r="D56" s="5" t="n">
        <x:v>0.25</x:v>
      </x:c>
    </x:row>
    <x:row r="57">
      <x:c r="A57" s="4" t="inlineStr">
        <x:is>
          <x:t xml:space="preserve">D9_C2</x:t>
        </x:is>
      </x:c>
      <x:c r="B57" s="4" t="inlineStr">
        <x:is>
          <x:t xml:space="preserve">D9_SC4</x:t>
        </x:is>
      </x:c>
      <x:c r="C57" s="4" t="inlineStr">
        <x:is>
          <x:t xml:space="preserve">Social acceptability</x:t>
        </x:is>
      </x:c>
      <x:c r="D57" s="5" t="n">
        <x:v>0.5</x:v>
      </x:c>
    </x:row>
    <x:row r="58">
      <x:c r="A58" s="4" t="inlineStr">
        <x:is>
          <x:t xml:space="preserve">D9_C2</x:t>
        </x:is>
      </x:c>
      <x:c r="B58" s="4" t="inlineStr">
        <x:is>
          <x:t xml:space="preserve">D9_SC5</x:t>
        </x:is>
      </x:c>
      <x:c r="C58" s="4" t="inlineStr">
        <x:is>
          <x:t xml:space="preserve">Stakeholder management</x:t>
        </x:is>
      </x:c>
      <x:c r="D58" s="5" t="n">
        <x:v>0.5</x:v>
      </x:c>
    </x:row>
    <x:row r="59">
      <x:c r="A59" s="4" t="inlineStr">
        <x:is>
          <x:t xml:space="preserve">D9_C3</x:t>
        </x:is>
      </x:c>
      <x:c r="B59" s="4" t="inlineStr">
        <x:is>
          <x:t xml:space="preserve">D9_SC6</x:t>
        </x:is>
      </x:c>
      <x:c r="C59" s="4" t="inlineStr">
        <x:is>
          <x:t xml:space="preserve">ESG management system</x:t>
        </x:is>
      </x:c>
      <x:c r="D59" s="5" t="n">
        <x:v>0.5</x:v>
      </x:c>
    </x:row>
    <x:row r="60">
      <x:c r="A60" s="4" t="inlineStr">
        <x:is>
          <x:t xml:space="preserve">D9_C3</x:t>
        </x:is>
      </x:c>
      <x:c r="B60" s="4" t="inlineStr">
        <x:is>
          <x:t xml:space="preserve">D9_SC7</x:t>
        </x:is>
      </x:c>
      <x:c r="C60" s="4" t="inlineStr">
        <x:is>
          <x:t xml:space="preserve">Climate governance</x:t>
        </x:is>
      </x:c>
      <x:c r="D60" s="5" t="n">
        <x:v>0.5</x:v>
      </x:c>
    </x:row>
  </x:sheetData>
  <x:pageMargins left="0.7" right="0.7" top="0.75" bottom="0.75" header="0.3" footer="0.3"/>
  <x:tableParts count="1">
    <x:tablePart xmlns:r="http://schemas.openxmlformats.org/officeDocument/2006/relationships" r:id="R34b3031724f84ae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4" customWidth="1"/>
    <x:col min="2" max="2" width="18" customWidth="1"/>
    <x:col min="3" max="3" width="36" customWidth="1"/>
    <x:col min="4" max="4" width="25" customWidth="1"/>
    <x:col min="5" max="5" width="14" customWidth="1"/>
    <x:col min="6" max="6" width="30" customWidth="1"/>
  </x:cols>
  <x:sheetData>
    <x:row r="1">
      <x:c r="A1" s="3" t="inlineStr">
        <x:is>
          <x:t xml:space="preserve">SousCritCode</x:t>
        </x:is>
      </x:c>
      <x:c r="B1" s="3" t="inlineStr">
        <x:is>
          <x:t xml:space="preserve">SousSousCritCode</x:t>
        </x:is>
      </x:c>
      <x:c r="C1" s="3" t="inlineStr">
        <x:is>
          <x:t xml:space="preserve">Sous-sous-critère</x:t>
        </x:is>
      </x:c>
      <x:c r="D1" s="3" t="inlineStr">
        <x:is>
          <x:t xml:space="preserve">Poids dans Sous-critère</x:t>
        </x:is>
      </x:c>
      <x:c r="E1" s="3" t="inlineStr">
        <x:is>
          <x:t xml:space="preserve">Note /10</x:t>
        </x:is>
      </x:c>
      <x:c r="F1" s="3" t="inlineStr">
        <x:is>
          <x:t xml:space="preserve">Score simple</x:t>
        </x:is>
      </x:c>
    </x:row>
    <x:row r="2">
      <x:c r="A2" s="4" t="inlineStr">
        <x:is>
          <x:t xml:space="preserve">D1_SC1</x:t>
        </x:is>
      </x:c>
      <x:c r="B2" s="4" t="inlineStr">
        <x:is>
          <x:t xml:space="preserve">D1_SS1</x:t>
        </x:is>
      </x:c>
      <x:c r="C2" s="4" t="inlineStr">
        <x:is>
          <x:t xml:space="preserve">Stabilité de l'actionnariat</x:t>
        </x:is>
      </x:c>
      <x:c r="D2" s="5" t="n">
        <x:v>0.4</x:v>
      </x:c>
      <x:c r="E2" s="6" t="n"/>
      <x:c r="F2" s="7">
        <x:f>IF(E2="","",E2/10*D2)</x:f>
      </x:c>
    </x:row>
    <x:row r="3">
      <x:c r="A3" s="4" t="inlineStr">
        <x:is>
          <x:t xml:space="preserve">D1_SC1</x:t>
        </x:is>
      </x:c>
      <x:c r="B3" s="4" t="inlineStr">
        <x:is>
          <x:t xml:space="preserve">D1_SS2</x:t>
        </x:is>
      </x:c>
      <x:c r="C3" s="4" t="inlineStr">
        <x:is>
          <x:t xml:space="preserve">Qualité du support explicite / implicite</x:t>
        </x:is>
      </x:c>
      <x:c r="D3" s="5" t="n">
        <x:v>0.35</x:v>
      </x:c>
      <x:c r="E3" s="6" t="n"/>
      <x:c r="F3" s="7">
        <x:f>IF(E3="","",E3/10*D3)</x:f>
      </x:c>
    </x:row>
    <x:row r="4">
      <x:c r="A4" s="4" t="inlineStr">
        <x:is>
          <x:t xml:space="preserve">D1_SC1</x:t>
        </x:is>
      </x:c>
      <x:c r="B4" s="4" t="inlineStr">
        <x:is>
          <x:t xml:space="preserve">D1_SS3</x:t>
        </x:is>
      </x:c>
      <x:c r="C4" s="4" t="inlineStr">
        <x:is>
          <x:t xml:space="preserve">Alignement d'intérêt / skin in the game</x:t>
        </x:is>
      </x:c>
      <x:c r="D4" s="5" t="n">
        <x:v>0.25</x:v>
      </x:c>
      <x:c r="E4" s="6" t="n"/>
      <x:c r="F4" s="7">
        <x:f>IF(E4="","",E4/10*D4)</x:f>
      </x:c>
    </x:row>
    <x:row r="5">
      <x:c r="A5" s="4" t="inlineStr">
        <x:is>
          <x:t xml:space="preserve">D1_SC2</x:t>
        </x:is>
      </x:c>
      <x:c r="B5" s="4" t="inlineStr">
        <x:is>
          <x:t xml:space="preserve">D1_SS4</x:t>
        </x:is>
      </x:c>
      <x:c r="C5" s="4" t="inlineStr">
        <x:is>
          <x:t xml:space="preserve">Capacité d'apport en fonds propres</x:t>
        </x:is>
      </x:c>
      <x:c r="D5" s="5" t="n">
        <x:v>0.4</x:v>
      </x:c>
      <x:c r="E5" s="6" t="n"/>
      <x:c r="F5" s="7">
        <x:f>IF(E5="","",E5/10*D5)</x:f>
      </x:c>
    </x:row>
    <x:row r="6">
      <x:c r="A6" s="4" t="inlineStr">
        <x:is>
          <x:t xml:space="preserve">D1_SC2</x:t>
        </x:is>
      </x:c>
      <x:c r="B6" s="4" t="inlineStr">
        <x:is>
          <x:t xml:space="preserve">D1_SS5</x:t>
        </x:is>
      </x:c>
      <x:c r="C6" s="4" t="inlineStr">
        <x:is>
          <x:t xml:space="preserve">Capacité de soutien en cas de stress</x:t>
        </x:is>
      </x:c>
      <x:c r="D6" s="5" t="n">
        <x:v>0.35</x:v>
      </x:c>
      <x:c r="E6" s="6" t="n"/>
      <x:c r="F6" s="7">
        <x:f>IF(E6="","",E6/10*D6)</x:f>
      </x:c>
    </x:row>
    <x:row r="7">
      <x:c r="A7" s="4" t="inlineStr">
        <x:is>
          <x:t xml:space="preserve">D1_SC2</x:t>
        </x:is>
      </x:c>
      <x:c r="B7" s="4" t="inlineStr">
        <x:is>
          <x:t xml:space="preserve">D1_SS6</x:t>
        </x:is>
      </x:c>
      <x:c r="C7" s="4" t="inlineStr">
        <x:is>
          <x:t xml:space="preserve">Flexibilité bilancielle / liquidité</x:t>
        </x:is>
      </x:c>
      <x:c r="D7" s="5" t="n">
        <x:v>0.25</x:v>
      </x:c>
      <x:c r="E7" s="6" t="n"/>
      <x:c r="F7" s="7">
        <x:f>IF(E7="","",E7/10*D7)</x:f>
      </x:c>
    </x:row>
    <x:row r="8">
      <x:c r="A8" s="4" t="inlineStr">
        <x:is>
          <x:t xml:space="preserve">D1_SC3</x:t>
        </x:is>
      </x:c>
      <x:c r="B8" s="4" t="inlineStr">
        <x:is>
          <x:t xml:space="preserve">D1_SS7</x:t>
        </x:is>
      </x:c>
      <x:c r="C8" s="4" t="inlineStr">
        <x:is>
          <x:t xml:space="preserve">Montant equity at risk</x:t>
        </x:is>
      </x:c>
      <x:c r="D8" s="5" t="n">
        <x:v>0.4</x:v>
      </x:c>
      <x:c r="E8" s="6" t="n"/>
      <x:c r="F8" s="7">
        <x:f>IF(E8="","",E8/10*D8)</x:f>
      </x:c>
    </x:row>
    <x:row r="9">
      <x:c r="A9" s="4" t="inlineStr">
        <x:is>
          <x:t xml:space="preserve">D1_SC3</x:t>
        </x:is>
      </x:c>
      <x:c r="B9" s="4" t="inlineStr">
        <x:is>
          <x:t xml:space="preserve">D1_SS8</x:t>
        </x:is>
      </x:c>
      <x:c r="C9" s="4" t="inlineStr">
        <x:is>
          <x:t xml:space="preserve">Subordination / blocage distributions</x:t>
        </x:is>
      </x:c>
      <x:c r="D9" s="5" t="n">
        <x:v>0.3</x:v>
      </x:c>
      <x:c r="E9" s="6" t="n"/>
      <x:c r="F9" s="7">
        <x:f>IF(E9="","",E9/10*D9)</x:f>
      </x:c>
    </x:row>
    <x:row r="10">
      <x:c r="A10" s="4" t="inlineStr">
        <x:is>
          <x:t xml:space="preserve">D1_SC3</x:t>
        </x:is>
      </x:c>
      <x:c r="B10" s="4" t="inlineStr">
        <x:is>
          <x:t xml:space="preserve">D1_SS9</x:t>
        </x:is>
      </x:c>
      <x:c r="C10" s="4" t="inlineStr">
        <x:is>
          <x:t xml:space="preserve">Historique de soutien aux projets</x:t>
        </x:is>
      </x:c>
      <x:c r="D10" s="5" t="n">
        <x:v>0.3</x:v>
      </x:c>
      <x:c r="E10" s="6" t="n"/>
      <x:c r="F10" s="7">
        <x:f>IF(E10="","",E10/10*D10)</x:f>
      </x:c>
    </x:row>
    <x:row r="11">
      <x:c r="A11" s="4" t="inlineStr">
        <x:is>
          <x:t xml:space="preserve">D1_SC4</x:t>
        </x:is>
      </x:c>
      <x:c r="B11" s="4" t="inlineStr">
        <x:is>
          <x:t xml:space="preserve">D1_SS10</x:t>
        </x:is>
      </x:c>
      <x:c r="C11" s="4" t="inlineStr">
        <x:is>
          <x:t xml:space="preserve">Nombre de projets similaires</x:t>
        </x:is>
      </x:c>
      <x:c r="D11" s="5" t="n">
        <x:v>0.35</x:v>
      </x:c>
      <x:c r="E11" s="6" t="n"/>
      <x:c r="F11" s="7">
        <x:f>IF(E11="","",E11/10*D11)</x:f>
      </x:c>
    </x:row>
    <x:row r="12">
      <x:c r="A12" s="4" t="inlineStr">
        <x:is>
          <x:t xml:space="preserve">D1_SC4</x:t>
        </x:is>
      </x:c>
      <x:c r="B12" s="4" t="inlineStr">
        <x:is>
          <x:t xml:space="preserve">D1_SS11</x:t>
        </x:is>
      </x:c>
      <x:c r="C12" s="4" t="inlineStr">
        <x:is>
          <x:t xml:space="preserve">Succès de mise en service</x:t>
        </x:is>
      </x:c>
      <x:c r="D12" s="5" t="n">
        <x:v>0.35</x:v>
      </x:c>
      <x:c r="E12" s="6" t="n"/>
      <x:c r="F12" s="7">
        <x:f>IF(E12="","",E12/10*D12)</x:f>
      </x:c>
    </x:row>
    <x:row r="13">
      <x:c r="A13" s="4" t="inlineStr">
        <x:is>
          <x:t xml:space="preserve">D1_SC4</x:t>
        </x:is>
      </x:c>
      <x:c r="B13" s="4" t="inlineStr">
        <x:is>
          <x:t xml:space="preserve">D1_SS12</x:t>
        </x:is>
      </x:c>
      <x:c r="C13" s="4" t="inlineStr">
        <x:is>
          <x:t xml:space="preserve">Historique coût/délai</x:t>
        </x:is>
      </x:c>
      <x:c r="D13" s="5" t="n">
        <x:v>0.3</x:v>
      </x:c>
      <x:c r="E13" s="6" t="n"/>
      <x:c r="F13" s="7">
        <x:f>IF(E13="","",E13/10*D13)</x:f>
      </x:c>
    </x:row>
    <x:row r="14">
      <x:c r="A14" s="4" t="inlineStr">
        <x:is>
          <x:t xml:space="preserve">D1_SC5</x:t>
        </x:is>
      </x:c>
      <x:c r="B14" s="4" t="inlineStr">
        <x:is>
          <x:t xml:space="preserve">D1_SS13</x:t>
        </x:is>
      </x:c>
      <x:c r="C14" s="4" t="inlineStr">
        <x:is>
          <x:t xml:space="preserve">Performance opérationnelle historique</x:t>
        </x:is>
      </x:c>
      <x:c r="D14" s="5" t="n">
        <x:v>0.4</x:v>
      </x:c>
      <x:c r="E14" s="6" t="n"/>
      <x:c r="F14" s="7">
        <x:f>IF(E14="","",E14/10*D14)</x:f>
      </x:c>
    </x:row>
    <x:row r="15">
      <x:c r="A15" s="4" t="inlineStr">
        <x:is>
          <x:t xml:space="preserve">D1_SC5</x:t>
        </x:is>
      </x:c>
      <x:c r="B15" s="4" t="inlineStr">
        <x:is>
          <x:t xml:space="preserve">D1_SS14</x:t>
        </x:is>
      </x:c>
      <x:c r="C15" s="4" t="inlineStr">
        <x:is>
          <x:t xml:space="preserve">Gestion incidents / restructurations</x:t>
        </x:is>
      </x:c>
      <x:c r="D15" s="5" t="n">
        <x:v>0.3</x:v>
      </x:c>
      <x:c r="E15" s="6" t="n"/>
      <x:c r="F15" s="7">
        <x:f>IF(E15="","",E15/10*D15)</x:f>
      </x:c>
    </x:row>
    <x:row r="16">
      <x:c r="A16" s="4" t="inlineStr">
        <x:is>
          <x:t xml:space="preserve">D1_SC5</x:t>
        </x:is>
      </x:c>
      <x:c r="B16" s="4" t="inlineStr">
        <x:is>
          <x:t xml:space="preserve">D1_SS15</x:t>
        </x:is>
      </x:c>
      <x:c r="C16" s="4" t="inlineStr">
        <x:is>
          <x:t xml:space="preserve">Réputation sectorielle</x:t>
        </x:is>
      </x:c>
      <x:c r="D16" s="5" t="n">
        <x:v>0.3</x:v>
      </x:c>
      <x:c r="E16" s="6" t="n"/>
      <x:c r="F16" s="7">
        <x:f>IF(E16="","",E16/10*D16)</x:f>
      </x:c>
    </x:row>
    <x:row r="17">
      <x:c r="A17" s="4" t="inlineStr">
        <x:is>
          <x:t xml:space="preserve">D1_SC6</x:t>
        </x:is>
      </x:c>
      <x:c r="B17" s="4" t="inlineStr">
        <x:is>
          <x:t xml:space="preserve">D1_SS16</x:t>
        </x:is>
      </x:c>
      <x:c r="C17" s="4" t="inlineStr">
        <x:is>
          <x:t xml:space="preserve">Clarté gouvernance projet/SPV</x:t>
        </x:is>
      </x:c>
      <x:c r="D17" s="5" t="n">
        <x:v>0.4</x:v>
      </x:c>
      <x:c r="E17" s="6" t="n"/>
      <x:c r="F17" s="7">
        <x:f>IF(E17="","",E17/10*D17)</x:f>
      </x:c>
    </x:row>
    <x:row r="18">
      <x:c r="A18" s="4" t="inlineStr">
        <x:is>
          <x:t xml:space="preserve">D1_SC6</x:t>
        </x:is>
      </x:c>
      <x:c r="B18" s="4" t="inlineStr">
        <x:is>
          <x:t xml:space="preserve">D1_SS17</x:t>
        </x:is>
      </x:c>
      <x:c r="C18" s="4" t="inlineStr">
        <x:is>
          <x:t xml:space="preserve">Comités / délégations / pouvoirs</x:t>
        </x:is>
      </x:c>
      <x:c r="D18" s="5" t="n">
        <x:v>0.3</x:v>
      </x:c>
      <x:c r="E18" s="6" t="n"/>
      <x:c r="F18" s="7">
        <x:f>IF(E18="","",E18/10*D18)</x:f>
      </x:c>
    </x:row>
    <x:row r="19">
      <x:c r="A19" s="4" t="inlineStr">
        <x:is>
          <x:t xml:space="preserve">D1_SC6</x:t>
        </x:is>
      </x:c>
      <x:c r="B19" s="4" t="inlineStr">
        <x:is>
          <x:t xml:space="preserve">D1_SS18</x:t>
        </x:is>
      </x:c>
      <x:c r="C19" s="4" t="inlineStr">
        <x:is>
          <x:t xml:space="preserve">Gestion conflits d'intérêts</x:t>
        </x:is>
      </x:c>
      <x:c r="D19" s="5" t="n">
        <x:v>0.3</x:v>
      </x:c>
      <x:c r="E19" s="6" t="n"/>
      <x:c r="F19" s="7">
        <x:f>IF(E19="","",E19/10*D19)</x:f>
      </x:c>
    </x:row>
    <x:row r="20">
      <x:c r="A20" s="4" t="inlineStr">
        <x:is>
          <x:t xml:space="preserve">D1_SC7</x:t>
        </x:is>
      </x:c>
      <x:c r="B20" s="4" t="inlineStr">
        <x:is>
          <x:t xml:space="preserve">D1_SS19</x:t>
        </x:is>
      </x:c>
      <x:c r="C20" s="4" t="inlineStr">
        <x:is>
          <x:t xml:space="preserve">Qualité du reporting</x:t>
        </x:is>
      </x:c>
      <x:c r="D20" s="5" t="n">
        <x:v>0.35</x:v>
      </x:c>
      <x:c r="E20" s="6" t="n"/>
      <x:c r="F20" s="7">
        <x:f>IF(E20="","",E20/10*D20)</x:f>
      </x:c>
    </x:row>
    <x:row r="21">
      <x:c r="A21" s="4" t="inlineStr">
        <x:is>
          <x:t xml:space="preserve">D1_SC7</x:t>
        </x:is>
      </x:c>
      <x:c r="B21" s="4" t="inlineStr">
        <x:is>
          <x:t xml:space="preserve">D1_SS20</x:t>
        </x:is>
      </x:c>
      <x:c r="C21" s="4" t="inlineStr">
        <x:is>
          <x:t xml:space="preserve">Disponibilité information financière</x:t>
        </x:is>
      </x:c>
      <x:c r="D21" s="5" t="n">
        <x:v>0.35</x:v>
      </x:c>
      <x:c r="E21" s="6" t="n"/>
      <x:c r="F21" s="7">
        <x:f>IF(E21="","",E21/10*D21)</x:f>
      </x:c>
    </x:row>
    <x:row r="22">
      <x:c r="A22" s="4" t="inlineStr">
        <x:is>
          <x:t xml:space="preserve">D1_SC7</x:t>
        </x:is>
      </x:c>
      <x:c r="B22" s="4" t="inlineStr">
        <x:is>
          <x:t xml:space="preserve">D1_SS21</x:t>
        </x:is>
      </x:c>
      <x:c r="C22" s="4" t="inlineStr">
        <x:is>
          <x:t xml:space="preserve">Qualité audit / due diligence</x:t>
        </x:is>
      </x:c>
      <x:c r="D22" s="5" t="n">
        <x:v>0.3</x:v>
      </x:c>
      <x:c r="E22" s="6" t="n"/>
      <x:c r="F22" s="7">
        <x:f>IF(E22="","",E22/10*D22)</x:f>
      </x:c>
    </x:row>
    <x:row r="23">
      <x:c r="A23" s="4" t="inlineStr">
        <x:is>
          <x:t xml:space="preserve">D2_SC1</x:t>
        </x:is>
      </x:c>
      <x:c r="B23" s="4" t="inlineStr">
        <x:is>
          <x:t xml:space="preserve">D2_SS1</x:t>
        </x:is>
      </x:c>
      <x:c r="C23" s="4" t="inlineStr">
        <x:is>
          <x:t xml:space="preserve">Profondeur de la demande</x:t>
        </x:is>
      </x:c>
      <x:c r="D23" s="5" t="n">
        <x:v>0.35</x:v>
      </x:c>
      <x:c r="E23" s="6" t="n"/>
      <x:c r="F23" s="7">
        <x:f>IF(E23="","",E23/10*D23)</x:f>
      </x:c>
    </x:row>
    <x:row r="24">
      <x:c r="A24" s="4" t="inlineStr">
        <x:is>
          <x:t xml:space="preserve">D2_SC1</x:t>
        </x:is>
      </x:c>
      <x:c r="B24" s="4" t="inlineStr">
        <x:is>
          <x:t xml:space="preserve">D2_SS2</x:t>
        </x:is>
      </x:c>
      <x:c r="C24" s="4" t="inlineStr">
        <x:is>
          <x:t xml:space="preserve">Résilience de la demande</x:t>
        </x:is>
      </x:c>
      <x:c r="D24" s="5" t="n">
        <x:v>0.35</x:v>
      </x:c>
      <x:c r="E24" s="6" t="n"/>
      <x:c r="F24" s="7">
        <x:f>IF(E24="","",E24/10*D24)</x:f>
      </x:c>
    </x:row>
    <x:row r="25">
      <x:c r="A25" s="4" t="inlineStr">
        <x:is>
          <x:t xml:space="preserve">D2_SC1</x:t>
        </x:is>
      </x:c>
      <x:c r="B25" s="4" t="inlineStr">
        <x:is>
          <x:t xml:space="preserve">D2_SS3</x:t>
        </x:is>
      </x:c>
      <x:c r="C25" s="4" t="inlineStr">
        <x:is>
          <x:t xml:space="preserve">Visibilité long terme</x:t>
        </x:is>
      </x:c>
      <x:c r="D25" s="5" t="n">
        <x:v>0.3</x:v>
      </x:c>
      <x:c r="E25" s="6" t="n"/>
      <x:c r="F25" s="7">
        <x:f>IF(E25="","",E25/10*D25)</x:f>
      </x:c>
    </x:row>
    <x:row r="26">
      <x:c r="A26" s="4" t="inlineStr">
        <x:is>
          <x:t xml:space="preserve">D2_SC2</x:t>
        </x:is>
      </x:c>
      <x:c r="B26" s="4" t="inlineStr">
        <x:is>
          <x:t xml:space="preserve">D2_SS4</x:t>
        </x:is>
      </x:c>
      <x:c r="C26" s="4" t="inlineStr">
        <x:is>
          <x:t xml:space="preserve">Positionnement concurrentiel</x:t>
        </x:is>
      </x:c>
      <x:c r="D26" s="5" t="n">
        <x:v>0.4</x:v>
      </x:c>
      <x:c r="E26" s="6" t="n"/>
      <x:c r="F26" s="7">
        <x:f>IF(E26="","",E26/10*D26)</x:f>
      </x:c>
    </x:row>
    <x:row r="27">
      <x:c r="A27" s="4" t="inlineStr">
        <x:is>
          <x:t xml:space="preserve">D2_SC2</x:t>
        </x:is>
      </x:c>
      <x:c r="B27" s="4" t="inlineStr">
        <x:is>
          <x:t xml:space="preserve">D2_SS5</x:t>
        </x:is>
      </x:c>
      <x:c r="C27" s="4" t="inlineStr">
        <x:is>
          <x:t xml:space="preserve">Barrières à l'entrée</x:t>
        </x:is>
      </x:c>
      <x:c r="D27" s="5" t="n">
        <x:v>0.3</x:v>
      </x:c>
      <x:c r="E27" s="6" t="n"/>
      <x:c r="F27" s="7">
        <x:f>IF(E27="","",E27/10*D27)</x:f>
      </x:c>
    </x:row>
    <x:row r="28">
      <x:c r="A28" s="4" t="inlineStr">
        <x:is>
          <x:t xml:space="preserve">D2_SC2</x:t>
        </x:is>
      </x:c>
      <x:c r="B28" s="4" t="inlineStr">
        <x:is>
          <x:t xml:space="preserve">D2_SS6</x:t>
        </x:is>
      </x:c>
      <x:c r="C28" s="4" t="inlineStr">
        <x:is>
          <x:t xml:space="preserve">Sensibilité prix / volume</x:t>
        </x:is>
      </x:c>
      <x:c r="D28" s="5" t="n">
        <x:v>0.3</x:v>
      </x:c>
      <x:c r="E28" s="6" t="n"/>
      <x:c r="F28" s="7">
        <x:f>IF(E28="","",E28/10*D28)</x:f>
      </x:c>
    </x:row>
    <x:row r="29">
      <x:c r="A29" s="4" t="inlineStr">
        <x:is>
          <x:t xml:space="preserve">D2_SC3</x:t>
        </x:is>
      </x:c>
      <x:c r="B29" s="4" t="inlineStr">
        <x:is>
          <x:t xml:space="preserve">D2_SS7</x:t>
        </x:is>
      </x:c>
      <x:c r="C29" s="4" t="inlineStr">
        <x:is>
          <x:t xml:space="preserve">Importance stratégique</x:t>
        </x:is>
      </x:c>
      <x:c r="D29" s="5" t="n">
        <x:v>0.4</x:v>
      </x:c>
      <x:c r="E29" s="6" t="n"/>
      <x:c r="F29" s="7">
        <x:f>IF(E29="","",E29/10*D29)</x:f>
      </x:c>
    </x:row>
    <x:row r="30">
      <x:c r="A30" s="4" t="inlineStr">
        <x:is>
          <x:t xml:space="preserve">D2_SC3</x:t>
        </x:is>
      </x:c>
      <x:c r="B30" s="4" t="inlineStr">
        <x:is>
          <x:t xml:space="preserve">D2_SS8</x:t>
        </x:is>
      </x:c>
      <x:c r="C30" s="4" t="inlineStr">
        <x:is>
          <x:t xml:space="preserve">Alignement politiques publiques</x:t>
        </x:is>
      </x:c>
      <x:c r="D30" s="5" t="n">
        <x:v>0.3</x:v>
      </x:c>
      <x:c r="E30" s="6" t="n"/>
      <x:c r="F30" s="7">
        <x:f>IF(E30="","",E30/10*D30)</x:f>
      </x:c>
    </x:row>
    <x:row r="31">
      <x:c r="A31" s="4" t="inlineStr">
        <x:is>
          <x:t xml:space="preserve">D2_SC3</x:t>
        </x:is>
      </x:c>
      <x:c r="B31" s="4" t="inlineStr">
        <x:is>
          <x:t xml:space="preserve">D2_SS9</x:t>
        </x:is>
      </x:c>
      <x:c r="C31" s="4" t="inlineStr">
        <x:is>
          <x:t xml:space="preserve">Soutien institutionnel</x:t>
        </x:is>
      </x:c>
      <x:c r="D31" s="5" t="n">
        <x:v>0.3</x:v>
      </x:c>
      <x:c r="E31" s="6" t="n"/>
      <x:c r="F31" s="7">
        <x:f>IF(E31="","",E31/10*D31)</x:f>
      </x:c>
    </x:row>
    <x:row r="32">
      <x:c r="A32" s="4" t="inlineStr">
        <x:is>
          <x:t xml:space="preserve">D2_SC4</x:t>
        </x:is>
      </x:c>
      <x:c r="B32" s="4" t="inlineStr">
        <x:is>
          <x:t xml:space="preserve">D2_SS10</x:t>
        </x:is>
      </x:c>
      <x:c r="C32" s="4" t="inlineStr">
        <x:is>
          <x:t xml:space="preserve">Maturité technologique</x:t>
        </x:is>
      </x:c>
      <x:c r="D32" s="5" t="n">
        <x:v>0.4</x:v>
      </x:c>
      <x:c r="E32" s="6" t="n"/>
      <x:c r="F32" s="7">
        <x:f>IF(E32="","",E32/10*D32)</x:f>
      </x:c>
    </x:row>
    <x:row r="33">
      <x:c r="A33" s="4" t="inlineStr">
        <x:is>
          <x:t xml:space="preserve">D2_SC4</x:t>
        </x:is>
      </x:c>
      <x:c r="B33" s="4" t="inlineStr">
        <x:is>
          <x:t xml:space="preserve">D2_SS11</x:t>
        </x:is>
      </x:c>
      <x:c r="C33" s="4" t="inlineStr">
        <x:is>
          <x:t xml:space="preserve">Complexité d'intégration</x:t>
        </x:is>
      </x:c>
      <x:c r="D33" s="5" t="n">
        <x:v>0.35</x:v>
      </x:c>
      <x:c r="E33" s="6" t="n"/>
      <x:c r="F33" s="7">
        <x:f>IF(E33="","",E33/10*D33)</x:f>
      </x:c>
    </x:row>
    <x:row r="34">
      <x:c r="A34" s="4" t="inlineStr">
        <x:is>
          <x:t xml:space="preserve">D2_SC4</x:t>
        </x:is>
      </x:c>
      <x:c r="B34" s="4" t="inlineStr">
        <x:is>
          <x:t xml:space="preserve">D2_SS12</x:t>
        </x:is>
      </x:c>
      <x:c r="C34" s="4" t="inlineStr">
        <x:is>
          <x:t xml:space="preserve">Risque obsolescence</x:t>
        </x:is>
      </x:c>
      <x:c r="D34" s="5" t="n">
        <x:v>0.25</x:v>
      </x:c>
      <x:c r="E34" s="6" t="n"/>
      <x:c r="F34" s="7">
        <x:f>IF(E34="","",E34/10*D34)</x:f>
      </x:c>
    </x:row>
    <x:row r="35">
      <x:c r="A35" s="4" t="inlineStr">
        <x:is>
          <x:t xml:space="preserve">D2_SC5</x:t>
        </x:is>
      </x:c>
      <x:c r="B35" s="4" t="inlineStr">
        <x:is>
          <x:t xml:space="preserve">D2_SS13</x:t>
        </x:is>
      </x:c>
      <x:c r="C35" s="4" t="inlineStr">
        <x:is>
          <x:t xml:space="preserve">Qualité du site</x:t>
        </x:is>
      </x:c>
      <x:c r="D35" s="5" t="n">
        <x:v>0.35</x:v>
      </x:c>
      <x:c r="E35" s="6" t="n"/>
      <x:c r="F35" s="7">
        <x:f>IF(E35="","",E35/10*D35)</x:f>
      </x:c>
    </x:row>
    <x:row r="36">
      <x:c r="A36" s="4" t="inlineStr">
        <x:is>
          <x:t xml:space="preserve">D2_SC5</x:t>
        </x:is>
      </x:c>
      <x:c r="B36" s="4" t="inlineStr">
        <x:is>
          <x:t xml:space="preserve">D2_SS14</x:t>
        </x:is>
      </x:c>
      <x:c r="C36" s="4" t="inlineStr">
        <x:is>
          <x:t xml:space="preserve">Accès aux infrastructures</x:t>
        </x:is>
      </x:c>
      <x:c r="D36" s="5" t="n">
        <x:v>0.35</x:v>
      </x:c>
      <x:c r="E36" s="6" t="n"/>
      <x:c r="F36" s="7">
        <x:f>IF(E36="","",E36/10*D36)</x:f>
      </x:c>
    </x:row>
    <x:row r="37">
      <x:c r="A37" s="4" t="inlineStr">
        <x:is>
          <x:t xml:space="preserve">D2_SC5</x:t>
        </x:is>
      </x:c>
      <x:c r="B37" s="4" t="inlineStr">
        <x:is>
          <x:t xml:space="preserve">D2_SS15</x:t>
        </x:is>
      </x:c>
      <x:c r="C37" s="4" t="inlineStr">
        <x:is>
          <x:t xml:space="preserve">Contraintes foncières / servitudes</x:t>
        </x:is>
      </x:c>
      <x:c r="D37" s="5" t="n">
        <x:v>0.3</x:v>
      </x:c>
      <x:c r="E37" s="6" t="n"/>
      <x:c r="F37" s="7">
        <x:f>IF(E37="","",E37/10*D37)</x:f>
      </x:c>
    </x:row>
    <x:row r="38">
      <x:c r="A38" s="4" t="inlineStr">
        <x:is>
          <x:t xml:space="preserve">D2_SC6</x:t>
        </x:is>
      </x:c>
      <x:c r="B38" s="4" t="inlineStr">
        <x:is>
          <x:t xml:space="preserve">D2_SS16</x:t>
        </x:is>
      </x:c>
      <x:c r="C38" s="4" t="inlineStr">
        <x:is>
          <x:t xml:space="preserve">Disponibilité matières / ressources</x:t>
        </x:is>
      </x:c>
      <x:c r="D38" s="5" t="n">
        <x:v>0.4</x:v>
      </x:c>
      <x:c r="E38" s="6" t="n"/>
      <x:c r="F38" s="7">
        <x:f>IF(E38="","",E38/10*D38)</x:f>
      </x:c>
    </x:row>
    <x:row r="39">
      <x:c r="A39" s="4" t="inlineStr">
        <x:is>
          <x:t xml:space="preserve">D2_SC6</x:t>
        </x:is>
      </x:c>
      <x:c r="B39" s="4" t="inlineStr">
        <x:is>
          <x:t xml:space="preserve">D2_SS17</x:t>
        </x:is>
      </x:c>
      <x:c r="C39" s="4" t="inlineStr">
        <x:is>
          <x:t xml:space="preserve">Fiabilité logistique</x:t>
        </x:is>
      </x:c>
      <x:c r="D39" s="5" t="n">
        <x:v>0.3</x:v>
      </x:c>
      <x:c r="E39" s="6" t="n"/>
      <x:c r="F39" s="7">
        <x:f>IF(E39="","",E39/10*D39)</x:f>
      </x:c>
    </x:row>
    <x:row r="40">
      <x:c r="A40" s="4" t="inlineStr">
        <x:is>
          <x:t xml:space="preserve">D2_SC6</x:t>
        </x:is>
      </x:c>
      <x:c r="B40" s="4" t="inlineStr">
        <x:is>
          <x:t xml:space="preserve">D2_SS18</x:t>
        </x:is>
      </x:c>
      <x:c r="C40" s="4" t="inlineStr">
        <x:is>
          <x:t xml:space="preserve">Risque dépendance fournisseur clé</x:t>
        </x:is>
      </x:c>
      <x:c r="D40" s="5" t="n">
        <x:v>0.3</x:v>
      </x:c>
      <x:c r="E40" s="6" t="n"/>
      <x:c r="F40" s="7">
        <x:f>IF(E40="","",E40/10*D40)</x:f>
      </x:c>
    </x:row>
    <x:row r="41">
      <x:c r="A41" s="4" t="inlineStr">
        <x:is>
          <x:t xml:space="preserve">D2_SC7</x:t>
        </x:is>
      </x:c>
      <x:c r="B41" s="4" t="inlineStr">
        <x:is>
          <x:t xml:space="preserve">D2_SS19</x:t>
        </x:is>
      </x:c>
      <x:c r="C41" s="4" t="inlineStr">
        <x:is>
          <x:t xml:space="preserve">État des autorisations</x:t>
        </x:is>
      </x:c>
      <x:c r="D41" s="5" t="n">
        <x:v>0.4</x:v>
      </x:c>
      <x:c r="E41" s="6" t="n"/>
      <x:c r="F41" s="7">
        <x:f>IF(E41="","",E41/10*D41)</x:f>
      </x:c>
    </x:row>
    <x:row r="42">
      <x:c r="A42" s="4" t="inlineStr">
        <x:is>
          <x:t xml:space="preserve">D2_SC7</x:t>
        </x:is>
      </x:c>
      <x:c r="B42" s="4" t="inlineStr">
        <x:is>
          <x:t xml:space="preserve">D2_SS20</x:t>
        </x:is>
      </x:c>
      <x:c r="C42" s="4" t="inlineStr">
        <x:is>
          <x:t xml:space="preserve">Risque de recours / contentieux</x:t>
        </x:is>
      </x:c>
      <x:c r="D42" s="5" t="n">
        <x:v>0.35</x:v>
      </x:c>
      <x:c r="E42" s="6" t="n"/>
      <x:c r="F42" s="7">
        <x:f>IF(E42="","",E42/10*D42)</x:f>
      </x:c>
    </x:row>
    <x:row r="43">
      <x:c r="A43" s="4" t="inlineStr">
        <x:is>
          <x:t xml:space="preserve">D2_SC7</x:t>
        </x:is>
      </x:c>
      <x:c r="B43" s="4" t="inlineStr">
        <x:is>
          <x:t xml:space="preserve">D2_SS21</x:t>
        </x:is>
      </x:c>
      <x:c r="C43" s="4" t="inlineStr">
        <x:is>
          <x:t xml:space="preserve">Calendrier d'obtention restant</x:t>
        </x:is>
      </x:c>
      <x:c r="D43" s="5" t="n">
        <x:v>0.25</x:v>
      </x:c>
      <x:c r="E43" s="6" t="n"/>
      <x:c r="F43" s="7">
        <x:f>IF(E43="","",E43/10*D43)</x:f>
      </x:c>
    </x:row>
    <x:row r="44">
      <x:c r="A44" s="4" t="inlineStr">
        <x:is>
          <x:t xml:space="preserve">D2_SC8</x:t>
        </x:is>
      </x:c>
      <x:c r="B44" s="4" t="inlineStr">
        <x:is>
          <x:t xml:space="preserve">D2_SS22</x:t>
        </x:is>
      </x:c>
      <x:c r="C44" s="4" t="inlineStr">
        <x:is>
          <x:t xml:space="preserve">Avancement études techniques</x:t>
        </x:is>
      </x:c>
      <x:c r="D44" s="5" t="n">
        <x:v>0.35</x:v>
      </x:c>
      <x:c r="E44" s="6" t="n"/>
      <x:c r="F44" s="7">
        <x:f>IF(E44="","",E44/10*D44)</x:f>
      </x:c>
    </x:row>
    <x:row r="45">
      <x:c r="A45" s="4" t="inlineStr">
        <x:is>
          <x:t xml:space="preserve">D2_SC8</x:t>
        </x:is>
      </x:c>
      <x:c r="B45" s="4" t="inlineStr">
        <x:is>
          <x:t xml:space="preserve">D2_SS23</x:t>
        </x:is>
      </x:c>
      <x:c r="C45" s="4" t="inlineStr">
        <x:is>
          <x:t xml:space="preserve">Qualité budget CAPEX</x:t>
        </x:is>
      </x:c>
      <x:c r="D45" s="5" t="n">
        <x:v>0.35</x:v>
      </x:c>
      <x:c r="E45" s="6" t="n"/>
      <x:c r="F45" s="7">
        <x:f>IF(E45="","",E45/10*D45)</x:f>
      </x:c>
    </x:row>
    <x:row r="46">
      <x:c r="A46" s="4" t="inlineStr">
        <x:is>
          <x:t xml:space="preserve">D2_SC8</x:t>
        </x:is>
      </x:c>
      <x:c r="B46" s="4" t="inlineStr">
        <x:is>
          <x:t xml:space="preserve">D2_SS24</x:t>
        </x:is>
      </x:c>
      <x:c r="C46" s="4" t="inlineStr">
        <x:is>
          <x:t xml:space="preserve">Clarté planning global</x:t>
        </x:is>
      </x:c>
      <x:c r="D46" s="5" t="n">
        <x:v>0.3</x:v>
      </x:c>
      <x:c r="E46" s="6" t="n"/>
      <x:c r="F46" s="7">
        <x:f>IF(E46="","",E46/10*D46)</x:f>
      </x:c>
    </x:row>
    <x:row r="47">
      <x:c r="A47" s="4" t="inlineStr">
        <x:is>
          <x:t xml:space="preserve">D3_SC1</x:t>
        </x:is>
      </x:c>
      <x:c r="B47" s="4" t="inlineStr">
        <x:is>
          <x:t xml:space="preserve">D3_SS1</x:t>
        </x:is>
      </x:c>
      <x:c r="C47" s="4" t="inlineStr">
        <x:is>
          <x:t xml:space="preserve">Type de contrat EPC</x:t>
        </x:is>
      </x:c>
      <x:c r="D47" s="5" t="n">
        <x:v>0.35</x:v>
      </x:c>
      <x:c r="E47" s="6" t="n"/>
      <x:c r="F47" s="7">
        <x:f>IF(E47="","",E47/10*D47)</x:f>
      </x:c>
    </x:row>
    <x:row r="48">
      <x:c r="A48" s="4" t="inlineStr">
        <x:is>
          <x:t xml:space="preserve">D3_SC1</x:t>
        </x:is>
      </x:c>
      <x:c r="B48" s="4" t="inlineStr">
        <x:is>
          <x:t xml:space="preserve">D3_SS2</x:t>
        </x:is>
      </x:c>
      <x:c r="C48" s="4" t="inlineStr">
        <x:is>
          <x:t xml:space="preserve">Caractère lump sum turnkey</x:t>
        </x:is>
      </x:c>
      <x:c r="D48" s="5" t="n">
        <x:v>0.35</x:v>
      </x:c>
      <x:c r="E48" s="6" t="n"/>
      <x:c r="F48" s="7">
        <x:f>IF(E48="","",E48/10*D48)</x:f>
      </x:c>
    </x:row>
    <x:row r="49">
      <x:c r="A49" s="4" t="inlineStr">
        <x:is>
          <x:t xml:space="preserve">D3_SC1</x:t>
        </x:is>
      </x:c>
      <x:c r="B49" s="4" t="inlineStr">
        <x:is>
          <x:t xml:space="preserve">D3_SS3</x:t>
        </x:is>
      </x:c>
      <x:c r="C49" s="4" t="inlineStr">
        <x:is>
          <x:t xml:space="preserve">Clauses de variation / claims</x:t>
        </x:is>
      </x:c>
      <x:c r="D49" s="5" t="n">
        <x:v>0.3</x:v>
      </x:c>
      <x:c r="E49" s="6" t="n"/>
      <x:c r="F49" s="7">
        <x:f>IF(E49="","",E49/10*D49)</x:f>
      </x:c>
    </x:row>
    <x:row r="50">
      <x:c r="A50" s="4" t="inlineStr">
        <x:is>
          <x:t xml:space="preserve">D3_SC2</x:t>
        </x:is>
      </x:c>
      <x:c r="B50" s="4" t="inlineStr">
        <x:is>
          <x:t xml:space="preserve">D3_SS4</x:t>
        </x:is>
      </x:c>
      <x:c r="C50" s="4" t="inlineStr">
        <x:is>
          <x:t xml:space="preserve">Expérience EPC contractor</x:t>
        </x:is>
      </x:c>
      <x:c r="D50" s="5" t="n">
        <x:v>0.4</x:v>
      </x:c>
      <x:c r="E50" s="6" t="n"/>
      <x:c r="F50" s="7">
        <x:f>IF(E50="","",E50/10*D50)</x:f>
      </x:c>
    </x:row>
    <x:row r="51">
      <x:c r="A51" s="4" t="inlineStr">
        <x:is>
          <x:t xml:space="preserve">D3_SC2</x:t>
        </x:is>
      </x:c>
      <x:c r="B51" s="4" t="inlineStr">
        <x:is>
          <x:t xml:space="preserve">D3_SS5</x:t>
        </x:is>
      </x:c>
      <x:c r="C51" s="4" t="inlineStr">
        <x:is>
          <x:t xml:space="preserve">Solidité financière contractor</x:t>
        </x:is>
      </x:c>
      <x:c r="D51" s="5" t="n">
        <x:v>0.3</x:v>
      </x:c>
      <x:c r="E51" s="6" t="n"/>
      <x:c r="F51" s="7">
        <x:f>IF(E51="","",E51/10*D51)</x:f>
      </x:c>
    </x:row>
    <x:row r="52">
      <x:c r="A52" s="4" t="inlineStr">
        <x:is>
          <x:t xml:space="preserve">D3_SC2</x:t>
        </x:is>
      </x:c>
      <x:c r="B52" s="4" t="inlineStr">
        <x:is>
          <x:t xml:space="preserve">D3_SS6</x:t>
        </x:is>
      </x:c>
      <x:c r="C52" s="4" t="inlineStr">
        <x:is>
          <x:t xml:space="preserve">Références locales / similaires</x:t>
        </x:is>
      </x:c>
      <x:c r="D52" s="5" t="n">
        <x:v>0.3</x:v>
      </x:c>
      <x:c r="E52" s="6" t="n"/>
      <x:c r="F52" s="7">
        <x:f>IF(E52="","",E52/10*D52)</x:f>
      </x:c>
    </x:row>
    <x:row r="53">
      <x:c r="A53" s="4" t="inlineStr">
        <x:is>
          <x:t xml:space="preserve">D3_SC3</x:t>
        </x:is>
      </x:c>
      <x:c r="B53" s="4" t="inlineStr">
        <x:is>
          <x:t xml:space="preserve">D3_SS7</x:t>
        </x:is>
      </x:c>
      <x:c r="C53" s="4" t="inlineStr">
        <x:is>
          <x:t xml:space="preserve">Garanties de bonne fin</x:t>
        </x:is>
      </x:c>
      <x:c r="D53" s="5" t="n">
        <x:v>0.4</x:v>
      </x:c>
      <x:c r="E53" s="6" t="n"/>
      <x:c r="F53" s="7">
        <x:f>IF(E53="","",E53/10*D53)</x:f>
      </x:c>
    </x:row>
    <x:row r="54">
      <x:c r="A54" s="4" t="inlineStr">
        <x:is>
          <x:t xml:space="preserve">D3_SC3</x:t>
        </x:is>
      </x:c>
      <x:c r="B54" s="4" t="inlineStr">
        <x:is>
          <x:t xml:space="preserve">D3_SS8</x:t>
        </x:is>
      </x:c>
      <x:c r="C54" s="4" t="inlineStr">
        <x:is>
          <x:t xml:space="preserve">LDs délai/performance</x:t>
        </x:is>
      </x:c>
      <x:c r="D54" s="5" t="n">
        <x:v>0.35</x:v>
      </x:c>
      <x:c r="E54" s="6" t="n"/>
      <x:c r="F54" s="7">
        <x:f>IF(E54="","",E54/10*D54)</x:f>
      </x:c>
    </x:row>
    <x:row r="55">
      <x:c r="A55" s="4" t="inlineStr">
        <x:is>
          <x:t xml:space="preserve">D3_SC3</x:t>
        </x:is>
      </x:c>
      <x:c r="B55" s="4" t="inlineStr">
        <x:is>
          <x:t xml:space="preserve">D3_SS9</x:t>
        </x:is>
      </x:c>
      <x:c r="C55" s="4" t="inlineStr">
        <x:is>
          <x:t xml:space="preserve">Tests d'acceptation / completion tests</x:t>
        </x:is>
      </x:c>
      <x:c r="D55" s="5" t="n">
        <x:v>0.25</x:v>
      </x:c>
      <x:c r="E55" s="6" t="n"/>
      <x:c r="F55" s="7">
        <x:f>IF(E55="","",E55/10*D55)</x:f>
      </x:c>
    </x:row>
    <x:row r="56">
      <x:c r="A56" s="4" t="inlineStr">
        <x:is>
          <x:t xml:space="preserve">D3_SC4</x:t>
        </x:is>
      </x:c>
      <x:c r="B56" s="4" t="inlineStr">
        <x:is>
          <x:t xml:space="preserve">D3_SS10</x:t>
        </x:is>
      </x:c>
      <x:c r="C56" s="4" t="inlineStr">
        <x:is>
          <x:t xml:space="preserve">Réalisme planning</x:t>
        </x:is>
      </x:c>
      <x:c r="D56" s="5" t="n">
        <x:v>0.4</x:v>
      </x:c>
      <x:c r="E56" s="6" t="n"/>
      <x:c r="F56" s="7">
        <x:f>IF(E56="","",E56/10*D56)</x:f>
      </x:c>
    </x:row>
    <x:row r="57">
      <x:c r="A57" s="4" t="inlineStr">
        <x:is>
          <x:t xml:space="preserve">D3_SC4</x:t>
        </x:is>
      </x:c>
      <x:c r="B57" s="4" t="inlineStr">
        <x:is>
          <x:t xml:space="preserve">D3_SS11</x:t>
        </x:is>
      </x:c>
      <x:c r="C57" s="4" t="inlineStr">
        <x:is>
          <x:t xml:space="preserve">Chemin critique</x:t>
        </x:is>
      </x:c>
      <x:c r="D57" s="5" t="n">
        <x:v>0.35</x:v>
      </x:c>
      <x:c r="E57" s="6" t="n"/>
      <x:c r="F57" s="7">
        <x:f>IF(E57="","",E57/10*D57)</x:f>
      </x:c>
    </x:row>
    <x:row r="58">
      <x:c r="A58" s="4" t="inlineStr">
        <x:is>
          <x:t xml:space="preserve">D3_SC4</x:t>
        </x:is>
      </x:c>
      <x:c r="B58" s="4" t="inlineStr">
        <x:is>
          <x:t xml:space="preserve">D3_SS12</x:t>
        </x:is>
      </x:c>
      <x:c r="C58" s="4" t="inlineStr">
        <x:is>
          <x:t xml:space="preserve">Buffers / contingences temps</x:t>
        </x:is>
      </x:c>
      <x:c r="D58" s="5" t="n">
        <x:v>0.25</x:v>
      </x:c>
      <x:c r="E58" s="6" t="n"/>
      <x:c r="F58" s="7">
        <x:f>IF(E58="","",E58/10*D58)</x:f>
      </x:c>
    </x:row>
    <x:row r="59">
      <x:c r="A59" s="4" t="inlineStr">
        <x:is>
          <x:t xml:space="preserve">D3_SC5</x:t>
        </x:is>
      </x:c>
      <x:c r="B59" s="4" t="inlineStr">
        <x:is>
          <x:t xml:space="preserve">D3_SS13</x:t>
        </x:is>
      </x:c>
      <x:c r="C59" s="4" t="inlineStr">
        <x:is>
          <x:t xml:space="preserve">Provision contingence CAPEX</x:t>
        </x:is>
      </x:c>
      <x:c r="D59" s="5" t="n">
        <x:v>0.35</x:v>
      </x:c>
      <x:c r="E59" s="6" t="n"/>
      <x:c r="F59" s="7">
        <x:f>IF(E59="","",E59/10*D59)</x:f>
      </x:c>
    </x:row>
    <x:row r="60">
      <x:c r="A60" s="4" t="inlineStr">
        <x:is>
          <x:t xml:space="preserve">D3_SC5</x:t>
        </x:is>
      </x:c>
      <x:c r="B60" s="4" t="inlineStr">
        <x:is>
          <x:t xml:space="preserve">D3_SS14</x:t>
        </x:is>
      </x:c>
      <x:c r="C60" s="4" t="inlineStr">
        <x:is>
          <x:t xml:space="preserve">Mécanismes de couverture surcoûts</x:t>
        </x:is>
      </x:c>
      <x:c r="D60" s="5" t="n">
        <x:v>0.35</x:v>
      </x:c>
      <x:c r="E60" s="6" t="n"/>
      <x:c r="F60" s="7">
        <x:f>IF(E60="","",E60/10*D60)</x:f>
      </x:c>
    </x:row>
    <x:row r="61">
      <x:c r="A61" s="4" t="inlineStr">
        <x:is>
          <x:t xml:space="preserve">D3_SC5</x:t>
        </x:is>
      </x:c>
      <x:c r="B61" s="4" t="inlineStr">
        <x:is>
          <x:t xml:space="preserve">D3_SS15</x:t>
        </x:is>
      </x:c>
      <x:c r="C61" s="4" t="inlineStr">
        <x:is>
          <x:t xml:space="preserve">Robustesse estimation coûts</x:t>
        </x:is>
      </x:c>
      <x:c r="D61" s="5" t="n">
        <x:v>0.3</x:v>
      </x:c>
      <x:c r="E61" s="6" t="n"/>
      <x:c r="F61" s="7">
        <x:f>IF(E61="","",E61/10*D61)</x:f>
      </x:c>
    </x:row>
    <x:row r="62">
      <x:c r="A62" s="4" t="inlineStr">
        <x:is>
          <x:t xml:space="preserve">D3_SC6</x:t>
        </x:is>
      </x:c>
      <x:c r="B62" s="4" t="inlineStr">
        <x:is>
          <x:t xml:space="preserve">D3_SS16</x:t>
        </x:is>
      </x:c>
      <x:c r="C62" s="4" t="inlineStr">
        <x:is>
          <x:t xml:space="preserve">Gestion interfaces techniques</x:t>
        </x:is>
      </x:c>
      <x:c r="D62" s="5" t="n">
        <x:v>0.4</x:v>
      </x:c>
      <x:c r="E62" s="6" t="n"/>
      <x:c r="F62" s="7">
        <x:f>IF(E62="","",E62/10*D62)</x:f>
      </x:c>
    </x:row>
    <x:row r="63">
      <x:c r="A63" s="4" t="inlineStr">
        <x:is>
          <x:t xml:space="preserve">D3_SC6</x:t>
        </x:is>
      </x:c>
      <x:c r="B63" s="4" t="inlineStr">
        <x:is>
          <x:t xml:space="preserve">D3_SS17</x:t>
        </x:is>
      </x:c>
      <x:c r="C63" s="4" t="inlineStr">
        <x:is>
          <x:t xml:space="preserve">Fiabilité chaîne d'approvisionnement</x:t>
        </x:is>
      </x:c>
      <x:c r="D63" s="5" t="n">
        <x:v>0.3</x:v>
      </x:c>
      <x:c r="E63" s="6" t="n"/>
      <x:c r="F63" s="7">
        <x:f>IF(E63="","",E63/10*D63)</x:f>
      </x:c>
    </x:row>
    <x:row r="64">
      <x:c r="A64" s="4" t="inlineStr">
        <x:is>
          <x:t xml:space="preserve">D3_SC6</x:t>
        </x:is>
      </x:c>
      <x:c r="B64" s="4" t="inlineStr">
        <x:is>
          <x:t xml:space="preserve">D3_SS18</x:t>
        </x:is>
      </x:c>
      <x:c r="C64" s="4" t="inlineStr">
        <x:is>
          <x:t xml:space="preserve">Risque import / douane / logistique</x:t>
        </x:is>
      </x:c>
      <x:c r="D64" s="5" t="n">
        <x:v>0.3</x:v>
      </x:c>
      <x:c r="E64" s="6" t="n"/>
      <x:c r="F64" s="7">
        <x:f>IF(E64="","",E64/10*D64)</x:f>
      </x:c>
    </x:row>
    <x:row r="65">
      <x:c r="A65" s="4" t="inlineStr">
        <x:is>
          <x:t xml:space="preserve">D3_SC7</x:t>
        </x:is>
      </x:c>
      <x:c r="B65" s="4" t="inlineStr">
        <x:is>
          <x:t xml:space="preserve">D3_SS19</x:t>
        </x:is>
      </x:c>
      <x:c r="C65" s="4" t="inlineStr">
        <x:is>
          <x:t xml:space="preserve">Couverture CAR/EAR</x:t>
        </x:is>
      </x:c>
      <x:c r="D65" s="5" t="n">
        <x:v>0.4</x:v>
      </x:c>
      <x:c r="E65" s="6" t="n"/>
      <x:c r="F65" s="7">
        <x:f>IF(E65="","",E65/10*D65)</x:f>
      </x:c>
    </x:row>
    <x:row r="66">
      <x:c r="A66" s="4" t="inlineStr">
        <x:is>
          <x:t xml:space="preserve">D3_SC7</x:t>
        </x:is>
      </x:c>
      <x:c r="B66" s="4" t="inlineStr">
        <x:is>
          <x:t xml:space="preserve">D3_SS20</x:t>
        </x:is>
      </x:c>
      <x:c r="C66" s="4" t="inlineStr">
        <x:is>
          <x:t xml:space="preserve">Adéquation plafonds / exclusions</x:t>
        </x:is>
      </x:c>
      <x:c r="D66" s="5" t="n">
        <x:v>0.35</x:v>
      </x:c>
      <x:c r="E66" s="6" t="n"/>
      <x:c r="F66" s="7">
        <x:f>IF(E66="","",E66/10*D66)</x:f>
      </x:c>
    </x:row>
    <x:row r="67">
      <x:c r="A67" s="4" t="inlineStr">
        <x:is>
          <x:t xml:space="preserve">D3_SC7</x:t>
        </x:is>
      </x:c>
      <x:c r="B67" s="4" t="inlineStr">
        <x:is>
          <x:t xml:space="preserve">D3_SS21</x:t>
        </x:is>
      </x:c>
      <x:c r="C67" s="4" t="inlineStr">
        <x:is>
          <x:t xml:space="preserve">Qualité assureurs</x:t>
        </x:is>
      </x:c>
      <x:c r="D67" s="5" t="n">
        <x:v>0.25</x:v>
      </x:c>
      <x:c r="E67" s="6" t="n"/>
      <x:c r="F67" s="7">
        <x:f>IF(E67="","",E67/10*D67)</x:f>
      </x:c>
    </x:row>
    <x:row r="68">
      <x:c r="A68" s="4" t="inlineStr">
        <x:is>
          <x:t xml:space="preserve">D3_SC8</x:t>
        </x:is>
      </x:c>
      <x:c r="B68" s="4" t="inlineStr">
        <x:is>
          <x:t xml:space="preserve">D3_SS22</x:t>
        </x:is>
      </x:c>
      <x:c r="C68" s="4" t="inlineStr">
        <x:is>
          <x:t xml:space="preserve">Dispositif HSE chantier</x:t>
        </x:is>
      </x:c>
      <x:c r="D68" s="5" t="n">
        <x:v>0.4</x:v>
      </x:c>
      <x:c r="E68" s="6" t="n"/>
      <x:c r="F68" s="7">
        <x:f>IF(E68="","",E68/10*D68)</x:f>
      </x:c>
    </x:row>
    <x:row r="69">
      <x:c r="A69" s="4" t="inlineStr">
        <x:is>
          <x:t xml:space="preserve">D3_SC8</x:t>
        </x:is>
      </x:c>
      <x:c r="B69" s="4" t="inlineStr">
        <x:is>
          <x:t xml:space="preserve">D3_SS23</x:t>
        </x:is>
      </x:c>
      <x:c r="C69" s="4" t="inlineStr">
        <x:is>
          <x:t xml:space="preserve">Historique accidentologie</x:t>
        </x:is>
      </x:c>
      <x:c r="D69" s="5" t="n">
        <x:v>0.3</x:v>
      </x:c>
      <x:c r="E69" s="6" t="n"/>
      <x:c r="F69" s="7">
        <x:f>IF(E69="","",E69/10*D69)</x:f>
      </x:c>
    </x:row>
    <x:row r="70">
      <x:c r="A70" s="4" t="inlineStr">
        <x:is>
          <x:t xml:space="preserve">D3_SC8</x:t>
        </x:is>
      </x:c>
      <x:c r="B70" s="4" t="inlineStr">
        <x:is>
          <x:t xml:space="preserve">D3_SS24</x:t>
        </x:is>
      </x:c>
      <x:c r="C70" s="4" t="inlineStr">
        <x:is>
          <x:t xml:space="preserve">Gestion sous-traitants</x:t>
        </x:is>
      </x:c>
      <x:c r="D70" s="5" t="n">
        <x:v>0.3</x:v>
      </x:c>
      <x:c r="E70" s="6" t="n"/>
      <x:c r="F70" s="7">
        <x:f>IF(E70="","",E70/10*D70)</x:f>
      </x:c>
    </x:row>
    <x:row r="71">
      <x:c r="A71" s="4" t="inlineStr">
        <x:is>
          <x:t xml:space="preserve">D4_SC1</x:t>
        </x:is>
      </x:c>
      <x:c r="B71" s="4" t="inlineStr">
        <x:is>
          <x:t xml:space="preserve">D4_SS1</x:t>
        </x:is>
      </x:c>
      <x:c r="C71" s="4" t="inlineStr">
        <x:is>
          <x:t xml:space="preserve">Expérience de l'opérateur</x:t>
        </x:is>
      </x:c>
      <x:c r="D71" s="5" t="n">
        <x:v>0.4</x:v>
      </x:c>
      <x:c r="E71" s="6" t="n"/>
      <x:c r="F71" s="7">
        <x:f>IF(E71="","",E71/10*D71)</x:f>
      </x:c>
    </x:row>
    <x:row r="72">
      <x:c r="A72" s="4" t="inlineStr">
        <x:is>
          <x:t xml:space="preserve">D4_SC1</x:t>
        </x:is>
      </x:c>
      <x:c r="B72" s="4" t="inlineStr">
        <x:is>
          <x:t xml:space="preserve">D4_SS2</x:t>
        </x:is>
      </x:c>
      <x:c r="C72" s="4" t="inlineStr">
        <x:is>
          <x:t xml:space="preserve">Références sur actifs similaires</x:t>
        </x:is>
      </x:c>
      <x:c r="D72" s="5" t="n">
        <x:v>0.35</x:v>
      </x:c>
      <x:c r="E72" s="6" t="n"/>
      <x:c r="F72" s="7">
        <x:f>IF(E72="","",E72/10*D72)</x:f>
      </x:c>
    </x:row>
    <x:row r="73">
      <x:c r="A73" s="4" t="inlineStr">
        <x:is>
          <x:t xml:space="preserve">D4_SC1</x:t>
        </x:is>
      </x:c>
      <x:c r="B73" s="4" t="inlineStr">
        <x:is>
          <x:t xml:space="preserve">D4_SS3</x:t>
        </x:is>
      </x:c>
      <x:c r="C73" s="4" t="inlineStr">
        <x:is>
          <x:t xml:space="preserve">Solidité organisationnelle</x:t>
        </x:is>
      </x:c>
      <x:c r="D73" s="5" t="n">
        <x:v>0.25</x:v>
      </x:c>
      <x:c r="E73" s="6" t="n"/>
      <x:c r="F73" s="7">
        <x:f>IF(E73="","",E73/10*D73)</x:f>
      </x:c>
    </x:row>
    <x:row r="74">
      <x:c r="A74" s="4" t="inlineStr">
        <x:is>
          <x:t xml:space="preserve">D4_SC2</x:t>
        </x:is>
      </x:c>
      <x:c r="B74" s="4" t="inlineStr">
        <x:is>
          <x:t xml:space="preserve">D4_SS4</x:t>
        </x:is>
      </x:c>
      <x:c r="C74" s="4" t="inlineStr">
        <x:is>
          <x:t xml:space="preserve">Qualité contrat O&amp;M</x:t>
        </x:is>
      </x:c>
      <x:c r="D74" s="5" t="n">
        <x:v>0.4</x:v>
      </x:c>
      <x:c r="E74" s="6" t="n"/>
      <x:c r="F74" s="7">
        <x:f>IF(E74="","",E74/10*D74)</x:f>
      </x:c>
    </x:row>
    <x:row r="75">
      <x:c r="A75" s="4" t="inlineStr">
        <x:is>
          <x:t xml:space="preserve">D4_SC2</x:t>
        </x:is>
      </x:c>
      <x:c r="B75" s="4" t="inlineStr">
        <x:is>
          <x:t xml:space="preserve">D4_SS5</x:t>
        </x:is>
      </x:c>
      <x:c r="C75" s="4" t="inlineStr">
        <x:is>
          <x:t xml:space="preserve">Répartition risques perf./disponibilité</x:t>
        </x:is>
      </x:c>
      <x:c r="D75" s="5" t="n">
        <x:v>0.35</x:v>
      </x:c>
      <x:c r="E75" s="6" t="n"/>
      <x:c r="F75" s="7">
        <x:f>IF(E75="","",E75/10*D75)</x:f>
      </x:c>
    </x:row>
    <x:row r="76">
      <x:c r="A76" s="4" t="inlineStr">
        <x:is>
          <x:t xml:space="preserve">D4_SC2</x:t>
        </x:is>
      </x:c>
      <x:c r="B76" s="4" t="inlineStr">
        <x:is>
          <x:t xml:space="preserve">D4_SS6</x:t>
        </x:is>
      </x:c>
      <x:c r="C76" s="4" t="inlineStr">
        <x:is>
          <x:t xml:space="preserve">Mécanismes d'incitation / pénalités</x:t>
        </x:is>
      </x:c>
      <x:c r="D76" s="5" t="n">
        <x:v>0.25</x:v>
      </x:c>
      <x:c r="E76" s="6" t="n"/>
      <x:c r="F76" s="7">
        <x:f>IF(E76="","",E76/10*D76)</x:f>
      </x:c>
    </x:row>
    <x:row r="77">
      <x:c r="A77" s="4" t="inlineStr">
        <x:is>
          <x:t xml:space="preserve">D4_SC3</x:t>
        </x:is>
      </x:c>
      <x:c r="B77" s="4" t="inlineStr">
        <x:is>
          <x:t xml:space="preserve">D4_SS7</x:t>
        </x:is>
      </x:c>
      <x:c r="C77" s="4" t="inlineStr">
        <x:is>
          <x:t xml:space="preserve">Programme de maintenance</x:t>
        </x:is>
      </x:c>
      <x:c r="D77" s="5" t="n">
        <x:v>0.4</x:v>
      </x:c>
      <x:c r="E77" s="6" t="n"/>
      <x:c r="F77" s="7">
        <x:f>IF(E77="","",E77/10*D77)</x:f>
      </x:c>
    </x:row>
    <x:row r="78">
      <x:c r="A78" s="4" t="inlineStr">
        <x:is>
          <x:t xml:space="preserve">D4_SC3</x:t>
        </x:is>
      </x:c>
      <x:c r="B78" s="4" t="inlineStr">
        <x:is>
          <x:t xml:space="preserve">D4_SS8</x:t>
        </x:is>
      </x:c>
      <x:c r="C78" s="4" t="inlineStr">
        <x:is>
          <x:t xml:space="preserve">Disponibilité pièces / support OEM</x:t>
        </x:is>
      </x:c>
      <x:c r="D78" s="5" t="n">
        <x:v>0.35</x:v>
      </x:c>
      <x:c r="E78" s="6" t="n"/>
      <x:c r="F78" s="7">
        <x:f>IF(E78="","",E78/10*D78)</x:f>
      </x:c>
    </x:row>
    <x:row r="79">
      <x:c r="A79" s="4" t="inlineStr">
        <x:is>
          <x:t xml:space="preserve">D4_SC3</x:t>
        </x:is>
      </x:c>
      <x:c r="B79" s="4" t="inlineStr">
        <x:is>
          <x:t xml:space="preserve">D4_SS9</x:t>
        </x:is>
      </x:c>
      <x:c r="C79" s="4" t="inlineStr">
        <x:is>
          <x:t xml:space="preserve">Capex de renouvellement anticipé</x:t>
        </x:is>
      </x:c>
      <x:c r="D79" s="5" t="n">
        <x:v>0.25</x:v>
      </x:c>
      <x:c r="E79" s="6" t="n"/>
      <x:c r="F79" s="7">
        <x:f>IF(E79="","",E79/10*D79)</x:f>
      </x:c>
    </x:row>
    <x:row r="80">
      <x:c r="A80" s="4" t="inlineStr">
        <x:is>
          <x:t xml:space="preserve">D4_SC4</x:t>
        </x:is>
      </x:c>
      <x:c r="B80" s="4" t="inlineStr">
        <x:is>
          <x:t xml:space="preserve">D4_SS10</x:t>
        </x:is>
      </x:c>
      <x:c r="C80" s="4" t="inlineStr">
        <x:is>
          <x:t xml:space="preserve">Stabilité du rendement / output</x:t>
        </x:is>
      </x:c>
      <x:c r="D80" s="5" t="n">
        <x:v>0.4</x:v>
      </x:c>
      <x:c r="E80" s="6" t="n"/>
      <x:c r="F80" s="7">
        <x:f>IF(E80="","",E80/10*D80)</x:f>
      </x:c>
    </x:row>
    <x:row r="81">
      <x:c r="A81" s="4" t="inlineStr">
        <x:is>
          <x:t xml:space="preserve">D4_SC4</x:t>
        </x:is>
      </x:c>
      <x:c r="B81" s="4" t="inlineStr">
        <x:is>
          <x:t xml:space="preserve">D4_SS11</x:t>
        </x:is>
      </x:c>
      <x:c r="C81" s="4" t="inlineStr">
        <x:is>
          <x:t xml:space="preserve">Sensibilité aux aléas opérationnels</x:t>
        </x:is>
      </x:c>
      <x:c r="D81" s="5" t="n">
        <x:v>0.35</x:v>
      </x:c>
      <x:c r="E81" s="6" t="n"/>
      <x:c r="F81" s="7">
        <x:f>IF(E81="","",E81/10*D81)</x:f>
      </x:c>
    </x:row>
    <x:row r="82">
      <x:c r="A82" s="4" t="inlineStr">
        <x:is>
          <x:t xml:space="preserve">D4_SC4</x:t>
        </x:is>
      </x:c>
      <x:c r="B82" s="4" t="inlineStr">
        <x:is>
          <x:t xml:space="preserve">D4_SS12</x:t>
        </x:is>
      </x:c>
      <x:c r="C82" s="4" t="inlineStr">
        <x:is>
          <x:t xml:space="preserve">Historique disponibilité technique</x:t>
        </x:is>
      </x:c>
      <x:c r="D82" s="5" t="n">
        <x:v>0.25</x:v>
      </x:c>
      <x:c r="E82" s="6" t="n"/>
      <x:c r="F82" s="7">
        <x:f>IF(E82="","",E82/10*D82)</x:f>
      </x:c>
    </x:row>
    <x:row r="83">
      <x:c r="A83" s="4" t="inlineStr">
        <x:is>
          <x:t xml:space="preserve">D4_SC5</x:t>
        </x:is>
      </x:c>
      <x:c r="B83" s="4" t="inlineStr">
        <x:is>
          <x:t xml:space="preserve">D4_SS13</x:t>
        </x:is>
      </x:c>
      <x:c r="C83" s="4" t="inlineStr">
        <x:is>
          <x:t xml:space="preserve">Plan de continuité</x:t>
        </x:is>
      </x:c>
      <x:c r="D83" s="5" t="n">
        <x:v>0.4</x:v>
      </x:c>
      <x:c r="E83" s="6" t="n"/>
      <x:c r="F83" s="7">
        <x:f>IF(E83="","",E83/10*D83)</x:f>
      </x:c>
    </x:row>
    <x:row r="84">
      <x:c r="A84" s="4" t="inlineStr">
        <x:is>
          <x:t xml:space="preserve">D4_SC5</x:t>
        </x:is>
      </x:c>
      <x:c r="B84" s="4" t="inlineStr">
        <x:is>
          <x:t xml:space="preserve">D4_SS14</x:t>
        </x:is>
      </x:c>
      <x:c r="C84" s="4" t="inlineStr">
        <x:is>
          <x:t xml:space="preserve">Cybersécurité / systèmes critiques</x:t>
        </x:is>
      </x:c>
      <x:c r="D84" s="5" t="n">
        <x:v>0.3</x:v>
      </x:c>
      <x:c r="E84" s="6" t="n"/>
      <x:c r="F84" s="7">
        <x:f>IF(E84="","",E84/10*D84)</x:f>
      </x:c>
    </x:row>
    <x:row r="85">
      <x:c r="A85" s="4" t="inlineStr">
        <x:is>
          <x:t xml:space="preserve">D4_SC5</x:t>
        </x:is>
      </x:c>
      <x:c r="B85" s="4" t="inlineStr">
        <x:is>
          <x:t xml:space="preserve">D4_SS15</x:t>
        </x:is>
      </x:c>
      <x:c r="C85" s="4" t="inlineStr">
        <x:is>
          <x:t xml:space="preserve">Gestion des sinistres majeurs</x:t>
        </x:is>
      </x:c>
      <x:c r="D85" s="5" t="n">
        <x:v>0.3</x:v>
      </x:c>
      <x:c r="E85" s="6" t="n"/>
      <x:c r="F85" s="7">
        <x:f>IF(E85="","",E85/10*D85)</x:f>
      </x:c>
    </x:row>
    <x:row r="86">
      <x:c r="A86" s="4" t="inlineStr">
        <x:is>
          <x:t xml:space="preserve">D4_SC6</x:t>
        </x:is>
      </x:c>
      <x:c r="B86" s="4" t="inlineStr">
        <x:is>
          <x:t xml:space="preserve">D4_SS16</x:t>
        </x:is>
      </x:c>
      <x:c r="C86" s="4" t="inlineStr">
        <x:is>
          <x:t xml:space="preserve">Adéquation couverture exploitation</x:t>
        </x:is>
      </x:c>
      <x:c r="D86" s="5" t="n">
        <x:v>0.35</x:v>
      </x:c>
      <x:c r="E86" s="6" t="n"/>
      <x:c r="F86" s="7">
        <x:f>IF(E86="","",E86/10*D86)</x:f>
      </x:c>
    </x:row>
    <x:row r="87">
      <x:c r="A87" s="4" t="inlineStr">
        <x:is>
          <x:t xml:space="preserve">D4_SC6</x:t>
        </x:is>
      </x:c>
      <x:c r="B87" s="4" t="inlineStr">
        <x:is>
          <x:t xml:space="preserve">D4_SS17</x:t>
        </x:is>
      </x:c>
      <x:c r="C87" s="4" t="inlineStr">
        <x:is>
          <x:t xml:space="preserve">Pertes d'exploitation / BI</x:t>
        </x:is>
      </x:c>
      <x:c r="D87" s="5" t="n">
        <x:v>0.35</x:v>
      </x:c>
      <x:c r="E87" s="6" t="n"/>
      <x:c r="F87" s="7">
        <x:f>IF(E87="","",E87/10*D87)</x:f>
      </x:c>
    </x:row>
    <x:row r="88">
      <x:c r="A88" s="4" t="inlineStr">
        <x:is>
          <x:t xml:space="preserve">D4_SC6</x:t>
        </x:is>
      </x:c>
      <x:c r="B88" s="4" t="inlineStr">
        <x:is>
          <x:t xml:space="preserve">D4_SS18</x:t>
        </x:is>
      </x:c>
      <x:c r="C88" s="4" t="inlineStr">
        <x:is>
          <x:t xml:space="preserve">Qualité programme assurances</x:t>
        </x:is>
      </x:c>
      <x:c r="D88" s="5" t="n">
        <x:v>0.3</x:v>
      </x:c>
      <x:c r="E88" s="6" t="n"/>
      <x:c r="F88" s="7">
        <x:f>IF(E88="","",E88/10*D88)</x:f>
      </x:c>
    </x:row>
    <x:row r="89">
      <x:c r="A89" s="4" t="inlineStr">
        <x:is>
          <x:t xml:space="preserve">D5_SC1</x:t>
        </x:is>
      </x:c>
      <x:c r="B89" s="4" t="inlineStr">
        <x:is>
          <x:t xml:space="preserve">D5_SS1</x:t>
        </x:is>
      </x:c>
      <x:c r="C89" s="4" t="inlineStr">
        <x:is>
          <x:t xml:space="preserve">Niveau d'endettement</x:t>
        </x:is>
      </x:c>
      <x:c r="D89" s="5" t="n">
        <x:v>0.4</x:v>
      </x:c>
      <x:c r="E89" s="6" t="n"/>
      <x:c r="F89" s="7">
        <x:f>IF(E89="","",E89/10*D89)</x:f>
      </x:c>
    </x:row>
    <x:row r="90">
      <x:c r="A90" s="4" t="inlineStr">
        <x:is>
          <x:t xml:space="preserve">D5_SC1</x:t>
        </x:is>
      </x:c>
      <x:c r="B90" s="4" t="inlineStr">
        <x:is>
          <x:t xml:space="preserve">D5_SS2</x:t>
        </x:is>
      </x:c>
      <x:c r="C90" s="4" t="inlineStr">
        <x:is>
          <x:t xml:space="preserve">Part des fonds propres</x:t>
        </x:is>
      </x:c>
      <x:c r="D90" s="5" t="n">
        <x:v>0.35</x:v>
      </x:c>
      <x:c r="E90" s="6" t="n"/>
      <x:c r="F90" s="7">
        <x:f>IF(E90="","",E90/10*D90)</x:f>
      </x:c>
    </x:row>
    <x:row r="91">
      <x:c r="A91" s="4" t="inlineStr">
        <x:is>
          <x:t xml:space="preserve">D5_SC1</x:t>
        </x:is>
      </x:c>
      <x:c r="B91" s="4" t="inlineStr">
        <x:is>
          <x:t xml:space="preserve">D5_SS3</x:t>
        </x:is>
      </x:c>
      <x:c r="C91" s="4" t="inlineStr">
        <x:is>
          <x:t xml:space="preserve">Qualité quasi-fonds propres</x:t>
        </x:is>
      </x:c>
      <x:c r="D91" s="5" t="n">
        <x:v>0.25</x:v>
      </x:c>
      <x:c r="E91" s="6" t="n"/>
      <x:c r="F91" s="7">
        <x:f>IF(E91="","",E91/10*D91)</x:f>
      </x:c>
    </x:row>
    <x:row r="92">
      <x:c r="A92" s="4" t="inlineStr">
        <x:is>
          <x:t xml:space="preserve">D5_SC2</x:t>
        </x:is>
      </x:c>
      <x:c r="B92" s="4" t="inlineStr">
        <x:is>
          <x:t xml:space="preserve">D5_SS4</x:t>
        </x:is>
      </x:c>
      <x:c r="C92" s="4" t="inlineStr">
        <x:is>
          <x:t xml:space="preserve">Maturité / amortissement</x:t>
        </x:is>
      </x:c>
      <x:c r="D92" s="5" t="n">
        <x:v>0.35</x:v>
      </x:c>
      <x:c r="E92" s="6" t="n"/>
      <x:c r="F92" s="7">
        <x:f>IF(E92="","",E92/10*D92)</x:f>
      </x:c>
    </x:row>
    <x:row r="93">
      <x:c r="A93" s="4" t="inlineStr">
        <x:is>
          <x:t xml:space="preserve">D5_SC2</x:t>
        </x:is>
      </x:c>
      <x:c r="B93" s="4" t="inlineStr">
        <x:is>
          <x:t xml:space="preserve">D5_SS5</x:t>
        </x:is>
      </x:c>
      <x:c r="C93" s="4" t="inlineStr">
        <x:is>
          <x:t xml:space="preserve">Risque de refinancement</x:t>
        </x:is>
      </x:c>
      <x:c r="D93" s="5" t="n">
        <x:v>0.35</x:v>
      </x:c>
      <x:c r="E93" s="6" t="n"/>
      <x:c r="F93" s="7">
        <x:f>IF(E93="","",E93/10*D93)</x:f>
      </x:c>
    </x:row>
    <x:row r="94">
      <x:c r="A94" s="4" t="inlineStr">
        <x:is>
          <x:t xml:space="preserve">D5_SC2</x:t>
        </x:is>
      </x:c>
      <x:c r="B94" s="4" t="inlineStr">
        <x:is>
          <x:t xml:space="preserve">D5_SS6</x:t>
        </x:is>
      </x:c>
      <x:c r="C94" s="4" t="inlineStr">
        <x:is>
          <x:t xml:space="preserve">Exposition taux / devise</x:t>
        </x:is>
      </x:c>
      <x:c r="D94" s="5" t="n">
        <x:v>0.3</x:v>
      </x:c>
      <x:c r="E94" s="6" t="n"/>
      <x:c r="F94" s="7">
        <x:f>IF(E94="","",E94/10*D94)</x:f>
      </x:c>
    </x:row>
    <x:row r="95">
      <x:c r="A95" s="4" t="inlineStr">
        <x:is>
          <x:t xml:space="preserve">D5_SC3</x:t>
        </x:is>
      </x:c>
      <x:c r="B95" s="4" t="inlineStr">
        <x:is>
          <x:t xml:space="preserve">D5_SS7</x:t>
        </x:is>
      </x:c>
      <x:c r="C95" s="4" t="inlineStr">
        <x:is>
          <x:t xml:space="preserve">DSCR moyen</x:t>
        </x:is>
      </x:c>
      <x:c r="D95" s="5" t="n">
        <x:v>0.35</x:v>
      </x:c>
      <x:c r="E95" s="6" t="n"/>
      <x:c r="F95" s="7">
        <x:f>IF(E95="","",E95/10*D95)</x:f>
      </x:c>
    </x:row>
    <x:row r="96">
      <x:c r="A96" s="4" t="inlineStr">
        <x:is>
          <x:t xml:space="preserve">D5_SC3</x:t>
        </x:is>
      </x:c>
      <x:c r="B96" s="4" t="inlineStr">
        <x:is>
          <x:t xml:space="preserve">D5_SS8</x:t>
        </x:is>
      </x:c>
      <x:c r="C96" s="4" t="inlineStr">
        <x:is>
          <x:t xml:space="preserve">LLCR / PLCR</x:t>
        </x:is>
      </x:c>
      <x:c r="D96" s="5" t="n">
        <x:v>0.35</x:v>
      </x:c>
      <x:c r="E96" s="6" t="n"/>
      <x:c r="F96" s="7">
        <x:f>IF(E96="","",E96/10*D96)</x:f>
      </x:c>
    </x:row>
    <x:row r="97">
      <x:c r="A97" s="4" t="inlineStr">
        <x:is>
          <x:t xml:space="preserve">D5_SC3</x:t>
        </x:is>
      </x:c>
      <x:c r="B97" s="4" t="inlineStr">
        <x:is>
          <x:t xml:space="preserve">D5_SS9</x:t>
        </x:is>
      </x:c>
      <x:c r="C97" s="4" t="inlineStr">
        <x:is>
          <x:t xml:space="preserve">Marge de sécurité cash flow</x:t>
        </x:is>
      </x:c>
      <x:c r="D97" s="5" t="n">
        <x:v>0.3</x:v>
      </x:c>
      <x:c r="E97" s="6" t="n"/>
      <x:c r="F97" s="7">
        <x:f>IF(E97="","",E97/10*D97)</x:f>
      </x:c>
    </x:row>
    <x:row r="98">
      <x:c r="A98" s="4" t="inlineStr">
        <x:is>
          <x:t xml:space="preserve">D5_SC4</x:t>
        </x:is>
      </x:c>
      <x:c r="B98" s="4" t="inlineStr">
        <x:is>
          <x:t xml:space="preserve">D5_SS10</x:t>
        </x:is>
      </x:c>
      <x:c r="C98" s="4" t="inlineStr">
        <x:is>
          <x:t xml:space="preserve">DSCR en stress</x:t>
        </x:is>
      </x:c>
      <x:c r="D98" s="5" t="n">
        <x:v>0.4</x:v>
      </x:c>
      <x:c r="E98" s="6" t="n"/>
      <x:c r="F98" s="7">
        <x:f>IF(E98="","",E98/10*D98)</x:f>
      </x:c>
    </x:row>
    <x:row r="99">
      <x:c r="A99" s="4" t="inlineStr">
        <x:is>
          <x:t xml:space="preserve">D5_SC4</x:t>
        </x:is>
      </x:c>
      <x:c r="B99" s="4" t="inlineStr">
        <x:is>
          <x:t xml:space="preserve">D5_SS11</x:t>
        </x:is>
      </x:c>
      <x:c r="C99" s="4" t="inlineStr">
        <x:is>
          <x:t xml:space="preserve">Sensibilité volume/prix/coûts</x:t>
        </x:is>
      </x:c>
      <x:c r="D99" s="5" t="n">
        <x:v>0.35</x:v>
      </x:c>
      <x:c r="E99" s="6" t="n"/>
      <x:c r="F99" s="7">
        <x:f>IF(E99="","",E99/10*D99)</x:f>
      </x:c>
    </x:row>
    <x:row r="100">
      <x:c r="A100" s="4" t="inlineStr">
        <x:is>
          <x:t xml:space="preserve">D5_SC4</x:t>
        </x:is>
      </x:c>
      <x:c r="B100" s="4" t="inlineStr">
        <x:is>
          <x:t xml:space="preserve">D5_SS12</x:t>
        </x:is>
      </x:c>
      <x:c r="C100" s="4" t="inlineStr">
        <x:is>
          <x:t xml:space="preserve">Break-even robustness</x:t>
        </x:is>
      </x:c>
      <x:c r="D100" s="5" t="n">
        <x:v>0.25</x:v>
      </x:c>
      <x:c r="E100" s="6" t="n"/>
      <x:c r="F100" s="7">
        <x:f>IF(E100="","",E100/10*D100)</x:f>
      </x:c>
    </x:row>
    <x:row r="101">
      <x:c r="A101" s="4" t="inlineStr">
        <x:is>
          <x:t xml:space="preserve">D5_SC5</x:t>
        </x:is>
      </x:c>
      <x:c r="B101" s="4" t="inlineStr">
        <x:is>
          <x:t xml:space="preserve">D5_SS13</x:t>
        </x:is>
      </x:c>
      <x:c r="C101" s="4" t="inlineStr">
        <x:is>
          <x:t xml:space="preserve">DSRA / réserves</x:t>
        </x:is>
      </x:c>
      <x:c r="D101" s="5" t="n">
        <x:v>0.4</x:v>
      </x:c>
      <x:c r="E101" s="6" t="n"/>
      <x:c r="F101" s="7">
        <x:f>IF(E101="","",E101/10*D101)</x:f>
      </x:c>
    </x:row>
    <x:row r="102">
      <x:c r="A102" s="4" t="inlineStr">
        <x:is>
          <x:t xml:space="preserve">D5_SC5</x:t>
        </x:is>
      </x:c>
      <x:c r="B102" s="4" t="inlineStr">
        <x:is>
          <x:t xml:space="preserve">D5_SS14</x:t>
        </x:is>
      </x:c>
      <x:c r="C102" s="4" t="inlineStr">
        <x:is>
          <x:t xml:space="preserve">Standby facilities</x:t>
        </x:is>
      </x:c>
      <x:c r="D102" s="5" t="n">
        <x:v>0.3</x:v>
      </x:c>
      <x:c r="E102" s="6" t="n"/>
      <x:c r="F102" s="7">
        <x:f>IF(E102="","",E102/10*D102)</x:f>
      </x:c>
    </x:row>
    <x:row r="103">
      <x:c r="A103" s="4" t="inlineStr">
        <x:is>
          <x:t xml:space="preserve">D5_SC5</x:t>
        </x:is>
      </x:c>
      <x:c r="B103" s="4" t="inlineStr">
        <x:is>
          <x:t xml:space="preserve">D5_SS15</x:t>
        </x:is>
      </x:c>
      <x:c r="C103" s="4" t="inlineStr">
        <x:is>
          <x:t xml:space="preserve">Cash trap / waterfall discipline</x:t>
        </x:is>
      </x:c>
      <x:c r="D103" s="5" t="n">
        <x:v>0.3</x:v>
      </x:c>
      <x:c r="E103" s="6" t="n"/>
      <x:c r="F103" s="7">
        <x:f>IF(E103="","",E103/10*D103)</x:f>
      </x:c>
    </x:row>
    <x:row r="104">
      <x:c r="A104" s="4" t="inlineStr">
        <x:is>
          <x:t xml:space="preserve">D5_SC6</x:t>
        </x:is>
      </x:c>
      <x:c r="B104" s="4" t="inlineStr">
        <x:is>
          <x:t xml:space="preserve">D5_SS16</x:t>
        </x:is>
      </x:c>
      <x:c r="C104" s="4" t="inlineStr">
        <x:is>
          <x:t xml:space="preserve">Pertinence covenants</x:t>
        </x:is>
      </x:c>
      <x:c r="D104" s="5" t="n">
        <x:v>0.4</x:v>
      </x:c>
      <x:c r="E104" s="6" t="n"/>
      <x:c r="F104" s="7">
        <x:f>IF(E104="","",E104/10*D104)</x:f>
      </x:c>
    </x:row>
    <x:row r="105">
      <x:c r="A105" s="4" t="inlineStr">
        <x:is>
          <x:t xml:space="preserve">D5_SC6</x:t>
        </x:is>
      </x:c>
      <x:c r="B105" s="4" t="inlineStr">
        <x:is>
          <x:t xml:space="preserve">D5_SS17</x:t>
        </x:is>
      </x:c>
      <x:c r="C105" s="4" t="inlineStr">
        <x:is>
          <x:t xml:space="preserve">Fréquence test / cure rights</x:t>
        </x:is>
      </x:c>
      <x:c r="D105" s="5" t="n">
        <x:v>0.3</x:v>
      </x:c>
      <x:c r="E105" s="6" t="n"/>
      <x:c r="F105" s="7">
        <x:f>IF(E105="","",E105/10*D105)</x:f>
      </x:c>
    </x:row>
    <x:row r="106">
      <x:c r="A106" s="4" t="inlineStr">
        <x:is>
          <x:t xml:space="preserve">D5_SC6</x:t>
        </x:is>
      </x:c>
      <x:c r="B106" s="4" t="inlineStr">
        <x:is>
          <x:t xml:space="preserve">D5_SS18</x:t>
        </x:is>
      </x:c>
      <x:c r="C106" s="4" t="inlineStr">
        <x:is>
          <x:t xml:space="preserve">Mécanismes d'alerte précoce</x:t>
        </x:is>
      </x:c>
      <x:c r="D106" s="5" t="n">
        <x:v>0.3</x:v>
      </x:c>
      <x:c r="E106" s="6" t="n"/>
      <x:c r="F106" s="7">
        <x:f>IF(E106="","",E106/10*D106)</x:f>
      </x:c>
    </x:row>
    <x:row r="107">
      <x:c r="A107" s="4" t="inlineStr">
        <x:is>
          <x:t xml:space="preserve">D5_SC7</x:t>
        </x:is>
      </x:c>
      <x:c r="B107" s="4" t="inlineStr">
        <x:is>
          <x:t xml:space="preserve">D5_SS19</x:t>
        </x:is>
      </x:c>
      <x:c r="C107" s="4" t="inlineStr">
        <x:is>
          <x:t xml:space="preserve">Blocage distributions</x:t>
        </x:is>
      </x:c>
      <x:c r="D107" s="5" t="n">
        <x:v>0.4</x:v>
      </x:c>
      <x:c r="E107" s="6" t="n"/>
      <x:c r="F107" s="7">
        <x:f>IF(E107="","",E107/10*D107)</x:f>
      </x:c>
    </x:row>
    <x:row r="108">
      <x:c r="A108" s="4" t="inlineStr">
        <x:is>
          <x:t xml:space="preserve">D5_SC7</x:t>
        </x:is>
      </x:c>
      <x:c r="B108" s="4" t="inlineStr">
        <x:is>
          <x:t xml:space="preserve">D5_SS20</x:t>
        </x:is>
      </x:c>
      <x:c r="C108" s="4" t="inlineStr">
        <x:is>
          <x:t xml:space="preserve">Cash sweep</x:t>
        </x:is>
      </x:c>
      <x:c r="D108" s="5" t="n">
        <x:v>0.3</x:v>
      </x:c>
      <x:c r="E108" s="6" t="n"/>
      <x:c r="F108" s="7">
        <x:f>IF(E108="","",E108/10*D108)</x:f>
      </x:c>
    </x:row>
    <x:row r="109">
      <x:c r="A109" s="4" t="inlineStr">
        <x:is>
          <x:t xml:space="preserve">D5_SC7</x:t>
        </x:is>
      </x:c>
      <x:c r="B109" s="4" t="inlineStr">
        <x:is>
          <x:t xml:space="preserve">D5_SS21</x:t>
        </x:is>
      </x:c>
      <x:c r="C109" s="4" t="inlineStr">
        <x:is>
          <x:t xml:space="preserve">Flexibilité restructuration</x:t>
        </x:is>
      </x:c>
      <x:c r="D109" s="5" t="n">
        <x:v>0.3</x:v>
      </x:c>
      <x:c r="E109" s="6" t="n"/>
      <x:c r="F109" s="7">
        <x:f>IF(E109="","",E109/10*D109)</x:f>
      </x:c>
    </x:row>
    <x:row r="110">
      <x:c r="A110" s="4" t="inlineStr">
        <x:is>
          <x:t xml:space="preserve">D6_SC1</x:t>
        </x:is>
      </x:c>
      <x:c r="B110" s="4" t="inlineStr">
        <x:is>
          <x:t xml:space="preserve">D6_SS1</x:t>
        </x:is>
      </x:c>
      <x:c r="C110" s="4" t="inlineStr">
        <x:is>
          <x:t xml:space="preserve">Visibilité revenus</x:t>
        </x:is>
      </x:c>
      <x:c r="D110" s="5" t="n">
        <x:v>0.4</x:v>
      </x:c>
      <x:c r="E110" s="6" t="n"/>
      <x:c r="F110" s="7">
        <x:f>IF(E110="","",E110/10*D110)</x:f>
      </x:c>
    </x:row>
    <x:row r="111">
      <x:c r="A111" s="4" t="inlineStr">
        <x:is>
          <x:t xml:space="preserve">D6_SC1</x:t>
        </x:is>
      </x:c>
      <x:c r="B111" s="4" t="inlineStr">
        <x:is>
          <x:t xml:space="preserve">D6_SS2</x:t>
        </x:is>
      </x:c>
      <x:c r="C111" s="4" t="inlineStr">
        <x:is>
          <x:t xml:space="preserve">Diversification des contreparties</x:t>
        </x:is>
      </x:c>
      <x:c r="D111" s="5" t="n">
        <x:v>0.3</x:v>
      </x:c>
      <x:c r="E111" s="6" t="n"/>
      <x:c r="F111" s="7">
        <x:f>IF(E111="","",E111/10*D111)</x:f>
      </x:c>
    </x:row>
    <x:row r="112">
      <x:c r="A112" s="4" t="inlineStr">
        <x:is>
          <x:t xml:space="preserve">D6_SC1</x:t>
        </x:is>
      </x:c>
      <x:c r="B112" s="4" t="inlineStr">
        <x:is>
          <x:t xml:space="preserve">D6_SS3</x:t>
        </x:is>
      </x:c>
      <x:c r="C112" s="4" t="inlineStr">
        <x:is>
          <x:t xml:space="preserve">Risque concentration client</x:t>
        </x:is>
      </x:c>
      <x:c r="D112" s="5" t="n">
        <x:v>0.3</x:v>
      </x:c>
      <x:c r="E112" s="6" t="n"/>
      <x:c r="F112" s="7">
        <x:f>IF(E112="","",E112/10*D112)</x:f>
      </x:c>
    </x:row>
    <x:row r="113">
      <x:c r="A113" s="4" t="inlineStr">
        <x:is>
          <x:t xml:space="preserve">D6_SC2</x:t>
        </x:is>
      </x:c>
      <x:c r="B113" s="4" t="inlineStr">
        <x:is>
          <x:t xml:space="preserve">D6_SS4</x:t>
        </x:is>
      </x:c>
      <x:c r="C113" s="4" t="inlineStr">
        <x:is>
          <x:t xml:space="preserve">Stabilité tarifaire</x:t>
        </x:is>
      </x:c>
      <x:c r="D113" s="5" t="n">
        <x:v>0.4</x:v>
      </x:c>
      <x:c r="E113" s="6" t="n"/>
      <x:c r="F113" s="7">
        <x:f>IF(E113="","",E113/10*D113)</x:f>
      </x:c>
    </x:row>
    <x:row r="114">
      <x:c r="A114" s="4" t="inlineStr">
        <x:is>
          <x:t xml:space="preserve">D6_SC2</x:t>
        </x:is>
      </x:c>
      <x:c r="B114" s="4" t="inlineStr">
        <x:is>
          <x:t xml:space="preserve">D6_SS5</x:t>
        </x:is>
      </x:c>
      <x:c r="C114" s="4" t="inlineStr">
        <x:is>
          <x:t xml:space="preserve">Indexation / pass-through</x:t>
        </x:is>
      </x:c>
      <x:c r="D114" s="5" t="n">
        <x:v>0.35</x:v>
      </x:c>
      <x:c r="E114" s="6" t="n"/>
      <x:c r="F114" s="7">
        <x:f>IF(E114="","",E114/10*D114)</x:f>
      </x:c>
    </x:row>
    <x:row r="115">
      <x:c r="A115" s="4" t="inlineStr">
        <x:is>
          <x:t xml:space="preserve">D6_SC2</x:t>
        </x:is>
      </x:c>
      <x:c r="B115" s="4" t="inlineStr">
        <x:is>
          <x:t xml:space="preserve">D6_SS6</x:t>
        </x:is>
      </x:c>
      <x:c r="C115" s="4" t="inlineStr">
        <x:is>
          <x:t xml:space="preserve">Exposition marché spot</x:t>
        </x:is>
      </x:c>
      <x:c r="D115" s="5" t="n">
        <x:v>0.25</x:v>
      </x:c>
      <x:c r="E115" s="6" t="n"/>
      <x:c r="F115" s="7">
        <x:f>IF(E115="","",E115/10*D115)</x:f>
      </x:c>
    </x:row>
    <x:row r="116">
      <x:c r="A116" s="4" t="inlineStr">
        <x:is>
          <x:t xml:space="preserve">D6_SC3</x:t>
        </x:is>
      </x:c>
      <x:c r="B116" s="4" t="inlineStr">
        <x:is>
          <x:t xml:space="preserve">D6_SS7</x:t>
        </x:is>
      </x:c>
      <x:c r="C116" s="4" t="inlineStr">
        <x:is>
          <x:t xml:space="preserve">Qualité de crédit acheteur/offtaker</x:t>
        </x:is>
      </x:c>
      <x:c r="D116" s="5" t="n">
        <x:v>0.4</x:v>
      </x:c>
      <x:c r="E116" s="6" t="n"/>
      <x:c r="F116" s="7">
        <x:f>IF(E116="","",E116/10*D116)</x:f>
      </x:c>
    </x:row>
    <x:row r="117">
      <x:c r="A117" s="4" t="inlineStr">
        <x:is>
          <x:t xml:space="preserve">D6_SC3</x:t>
        </x:is>
      </x:c>
      <x:c r="B117" s="4" t="inlineStr">
        <x:is>
          <x:t xml:space="preserve">D6_SS8</x:t>
        </x:is>
      </x:c>
      <x:c r="C117" s="4" t="inlineStr">
        <x:is>
          <x:t xml:space="preserve">Garanties de paiement</x:t>
        </x:is>
      </x:c>
      <x:c r="D117" s="5" t="n">
        <x:v>0.35</x:v>
      </x:c>
      <x:c r="E117" s="6" t="n"/>
      <x:c r="F117" s="7">
        <x:f>IF(E117="","",E117/10*D117)</x:f>
      </x:c>
    </x:row>
    <x:row r="118">
      <x:c r="A118" s="4" t="inlineStr">
        <x:is>
          <x:t xml:space="preserve">D6_SC3</x:t>
        </x:is>
      </x:c>
      <x:c r="B118" s="4" t="inlineStr">
        <x:is>
          <x:t xml:space="preserve">D6_SS9</x:t>
        </x:is>
      </x:c>
      <x:c r="C118" s="4" t="inlineStr">
        <x:is>
          <x:t xml:space="preserve">Historique de paiement</x:t>
        </x:is>
      </x:c>
      <x:c r="D118" s="5" t="n">
        <x:v>0.25</x:v>
      </x:c>
      <x:c r="E118" s="6" t="n"/>
      <x:c r="F118" s="7">
        <x:f>IF(E118="","",E118/10*D118)</x:f>
      </x:c>
    </x:row>
    <x:row r="119">
      <x:c r="A119" s="4" t="inlineStr">
        <x:is>
          <x:t xml:space="preserve">D6_SC4</x:t>
        </x:is>
      </x:c>
      <x:c r="B119" s="4" t="inlineStr">
        <x:is>
          <x:t xml:space="preserve">D6_SS10</x:t>
        </x:is>
      </x:c>
      <x:c r="C119" s="4" t="inlineStr">
        <x:is>
          <x:t xml:space="preserve">Durée du contrat</x:t>
        </x:is>
      </x:c>
      <x:c r="D119" s="5" t="n">
        <x:v>0.35</x:v>
      </x:c>
      <x:c r="E119" s="6" t="n"/>
      <x:c r="F119" s="7">
        <x:f>IF(E119="","",E119/10*D119)</x:f>
      </x:c>
    </x:row>
    <x:row r="120">
      <x:c r="A120" s="4" t="inlineStr">
        <x:is>
          <x:t xml:space="preserve">D6_SC4</x:t>
        </x:is>
      </x:c>
      <x:c r="B120" s="4" t="inlineStr">
        <x:is>
          <x:t xml:space="preserve">D6_SS11</x:t>
        </x:is>
      </x:c>
      <x:c r="C120" s="4" t="inlineStr">
        <x:is>
          <x:t xml:space="preserve">Take-or-pay / capacity payment</x:t>
        </x:is>
      </x:c>
      <x:c r="D120" s="5" t="n">
        <x:v>0.35</x:v>
      </x:c>
      <x:c r="E120" s="6" t="n"/>
      <x:c r="F120" s="7">
        <x:f>IF(E120="","",E120/10*D120)</x:f>
      </x:c>
    </x:row>
    <x:row r="121">
      <x:c r="A121" s="4" t="inlineStr">
        <x:is>
          <x:t xml:space="preserve">D6_SC4</x:t>
        </x:is>
      </x:c>
      <x:c r="B121" s="4" t="inlineStr">
        <x:is>
          <x:t xml:space="preserve">D6_SS12</x:t>
        </x:is>
      </x:c>
      <x:c r="C121" s="4" t="inlineStr">
        <x:is>
          <x:t xml:space="preserve">Force majeure / termination regime</x:t>
        </x:is>
      </x:c>
      <x:c r="D121" s="5" t="n">
        <x:v>0.3</x:v>
      </x:c>
      <x:c r="E121" s="6" t="n"/>
      <x:c r="F121" s="7">
        <x:f>IF(E121="","",E121/10*D121)</x:f>
      </x:c>
    </x:row>
    <x:row r="122">
      <x:c r="A122" s="4" t="inlineStr">
        <x:is>
          <x:t xml:space="preserve">D6_SC5</x:t>
        </x:is>
      </x:c>
      <x:c r="B122" s="4" t="inlineStr">
        <x:is>
          <x:t xml:space="preserve">D6_SS13</x:t>
        </x:is>
      </x:c>
      <x:c r="C122" s="4" t="inlineStr">
        <x:is>
          <x:t xml:space="preserve">Protection changement de loi</x:t>
        </x:is>
      </x:c>
      <x:c r="D122" s="5" t="n">
        <x:v>0.4</x:v>
      </x:c>
      <x:c r="E122" s="6" t="n"/>
      <x:c r="F122" s="7">
        <x:f>IF(E122="","",E122/10*D122)</x:f>
      </x:c>
    </x:row>
    <x:row r="123">
      <x:c r="A123" s="4" t="inlineStr">
        <x:is>
          <x:t xml:space="preserve">D6_SC5</x:t>
        </x:is>
      </x:c>
      <x:c r="B123" s="4" t="inlineStr">
        <x:is>
          <x:t xml:space="preserve">D6_SS14</x:t>
        </x:is>
      </x:c>
      <x:c r="C123" s="4" t="inlineStr">
        <x:is>
          <x:t xml:space="preserve">Mécanismes d'ajustement tarifaire</x:t>
        </x:is>
      </x:c>
      <x:c r="D123" s="5" t="n">
        <x:v>0.35</x:v>
      </x:c>
      <x:c r="E123" s="6" t="n"/>
      <x:c r="F123" s="7">
        <x:f>IF(E123="","",E123/10*D123)</x:f>
      </x:c>
    </x:row>
    <x:row r="124">
      <x:c r="A124" s="4" t="inlineStr">
        <x:is>
          <x:t xml:space="preserve">D6_SC5</x:t>
        </x:is>
      </x:c>
      <x:c r="B124" s="4" t="inlineStr">
        <x:is>
          <x:t xml:space="preserve">D6_SS15</x:t>
        </x:is>
      </x:c>
      <x:c r="C124" s="4" t="inlineStr">
        <x:is>
          <x:t xml:space="preserve">Dispute resolution enforceability</x:t>
        </x:is>
      </x:c>
      <x:c r="D124" s="5" t="n">
        <x:v>0.25</x:v>
      </x:c>
      <x:c r="E124" s="6" t="n"/>
      <x:c r="F124" s="7">
        <x:f>IF(E124="","",E124/10*D124)</x:f>
      </x:c>
    </x:row>
    <x:row r="125">
      <x:c r="A125" s="4" t="inlineStr">
        <x:is>
          <x:t xml:space="preserve">D6_SC6</x:t>
        </x:is>
      </x:c>
      <x:c r="B125" s="4" t="inlineStr">
        <x:is>
          <x:t xml:space="preserve">D6_SS16</x:t>
        </x:is>
      </x:c>
      <x:c r="C125" s="4" t="inlineStr">
        <x:is>
          <x:t xml:space="preserve">Sécurité approvisionnement</x:t>
        </x:is>
      </x:c>
      <x:c r="D125" s="5" t="n">
        <x:v>0.35</x:v>
      </x:c>
      <x:c r="E125" s="6" t="n"/>
      <x:c r="F125" s="7">
        <x:f>IF(E125="","",E125/10*D125)</x:f>
      </x:c>
    </x:row>
    <x:row r="126">
      <x:c r="A126" s="4" t="inlineStr">
        <x:is>
          <x:t xml:space="preserve">D6_SC6</x:t>
        </x:is>
      </x:c>
      <x:c r="B126" s="4" t="inlineStr">
        <x:is>
          <x:t xml:space="preserve">D6_SS17</x:t>
        </x:is>
      </x:c>
      <x:c r="C126" s="4" t="inlineStr">
        <x:is>
          <x:t xml:space="preserve">Formule de prix input</x:t>
        </x:is>
      </x:c>
      <x:c r="D126" s="5" t="n">
        <x:v>0.35</x:v>
      </x:c>
      <x:c r="E126" s="6" t="n"/>
      <x:c r="F126" s="7">
        <x:f>IF(E126="","",E126/10*D126)</x:f>
      </x:c>
    </x:row>
    <x:row r="127">
      <x:c r="A127" s="4" t="inlineStr">
        <x:is>
          <x:t xml:space="preserve">D6_SC6</x:t>
        </x:is>
      </x:c>
      <x:c r="B127" s="4" t="inlineStr">
        <x:is>
          <x:t xml:space="preserve">D6_SS18</x:t>
        </x:is>
      </x:c>
      <x:c r="C127" s="4" t="inlineStr">
        <x:is>
          <x:t xml:space="preserve">Substitution / multi-sourcing</x:t>
        </x:is>
      </x:c>
      <x:c r="D127" s="5" t="n">
        <x:v>0.3</x:v>
      </x:c>
      <x:c r="E127" s="6" t="n"/>
      <x:c r="F127" s="7">
        <x:f>IF(E127="","",E127/10*D127)</x:f>
      </x:c>
    </x:row>
    <x:row r="128">
      <x:c r="A128" s="4" t="inlineStr">
        <x:is>
          <x:t xml:space="preserve">D7_SC1</x:t>
        </x:is>
      </x:c>
      <x:c r="B128" s="4" t="inlineStr">
        <x:is>
          <x:t xml:space="preserve">D7_SS1</x:t>
        </x:is>
      </x:c>
      <x:c r="C128" s="4" t="inlineStr">
        <x:is>
          <x:t xml:space="preserve">Risque délai alloué au bon acteur</x:t>
        </x:is>
      </x:c>
      <x:c r="D128" s="5" t="n">
        <x:v>0.35</x:v>
      </x:c>
      <x:c r="E128" s="6" t="n"/>
      <x:c r="F128" s="7">
        <x:f>IF(E128="","",E128/10*D128)</x:f>
      </x:c>
    </x:row>
    <x:row r="129">
      <x:c r="A129" s="4" t="inlineStr">
        <x:is>
          <x:t xml:space="preserve">D7_SC1</x:t>
        </x:is>
      </x:c>
      <x:c r="B129" s="4" t="inlineStr">
        <x:is>
          <x:t xml:space="preserve">D7_SS2</x:t>
        </x:is>
      </x:c>
      <x:c r="C129" s="4" t="inlineStr">
        <x:is>
          <x:t xml:space="preserve">Risque coût alloué au bon acteur</x:t>
        </x:is>
      </x:c>
      <x:c r="D129" s="5" t="n">
        <x:v>0.35</x:v>
      </x:c>
      <x:c r="E129" s="6" t="n"/>
      <x:c r="F129" s="7">
        <x:f>IF(E129="","",E129/10*D129)</x:f>
      </x:c>
    </x:row>
    <x:row r="130">
      <x:c r="A130" s="4" t="inlineStr">
        <x:is>
          <x:t xml:space="preserve">D7_SC1</x:t>
        </x:is>
      </x:c>
      <x:c r="B130" s="4" t="inlineStr">
        <x:is>
          <x:t xml:space="preserve">D7_SS3</x:t>
        </x:is>
      </x:c>
      <x:c r="C130" s="4" t="inlineStr">
        <x:is>
          <x:t xml:space="preserve">Couverture performance/commissioning</x:t>
        </x:is>
      </x:c>
      <x:c r="D130" s="5" t="n">
        <x:v>0.3</x:v>
      </x:c>
      <x:c r="E130" s="6" t="n"/>
      <x:c r="F130" s="7">
        <x:f>IF(E130="","",E130/10*D130)</x:f>
      </x:c>
    </x:row>
    <x:row r="131">
      <x:c r="A131" s="4" t="inlineStr">
        <x:is>
          <x:t xml:space="preserve">D7_SC2</x:t>
        </x:is>
      </x:c>
      <x:c r="B131" s="4" t="inlineStr">
        <x:is>
          <x:t xml:space="preserve">D7_SS4</x:t>
        </x:is>
      </x:c>
      <x:c r="C131" s="4" t="inlineStr">
        <x:is>
          <x:t xml:space="preserve">Disponibilité / performance allouée</x:t>
        </x:is>
      </x:c>
      <x:c r="D131" s="5" t="n">
        <x:v>0.4</x:v>
      </x:c>
      <x:c r="E131" s="6" t="n"/>
      <x:c r="F131" s="7">
        <x:f>IF(E131="","",E131/10*D131)</x:f>
      </x:c>
    </x:row>
    <x:row r="132">
      <x:c r="A132" s="4" t="inlineStr">
        <x:is>
          <x:t xml:space="preserve">D7_SC2</x:t>
        </x:is>
      </x:c>
      <x:c r="B132" s="4" t="inlineStr">
        <x:is>
          <x:t xml:space="preserve">D7_SS5</x:t>
        </x:is>
      </x:c>
      <x:c r="C132" s="4" t="inlineStr">
        <x:is>
          <x:t xml:space="preserve">Approvisionnement / input risk alloué</x:t>
        </x:is>
      </x:c>
      <x:c r="D132" s="5" t="n">
        <x:v>0.3</x:v>
      </x:c>
      <x:c r="E132" s="6" t="n"/>
      <x:c r="F132" s="7">
        <x:f>IF(E132="","",E132/10*D132)</x:f>
      </x:c>
    </x:row>
    <x:row r="133">
      <x:c r="A133" s="4" t="inlineStr">
        <x:is>
          <x:t xml:space="preserve">D7_SC2</x:t>
        </x:is>
      </x:c>
      <x:c r="B133" s="4" t="inlineStr">
        <x:is>
          <x:t xml:space="preserve">D7_SS6</x:t>
        </x:is>
      </x:c>
      <x:c r="C133" s="4" t="inlineStr">
        <x:is>
          <x:t xml:space="preserve">Maintenance / obsolescence allouée</x:t>
        </x:is>
      </x:c>
      <x:c r="D133" s="5" t="n">
        <x:v>0.3</x:v>
      </x:c>
      <x:c r="E133" s="6" t="n"/>
      <x:c r="F133" s="7">
        <x:f>IF(E133="","",E133/10*D133)</x:f>
      </x:c>
    </x:row>
    <x:row r="134">
      <x:c r="A134" s="4" t="inlineStr">
        <x:is>
          <x:t xml:space="preserve">D7_SC3</x:t>
        </x:is>
      </x:c>
      <x:c r="B134" s="4" t="inlineStr">
        <x:is>
          <x:t xml:space="preserve">D7_SS7</x:t>
        </x:is>
      </x:c>
      <x:c r="C134" s="4" t="inlineStr">
        <x:is>
          <x:t xml:space="preserve">Change in law / political risk</x:t>
        </x:is>
      </x:c>
      <x:c r="D134" s="5" t="n">
        <x:v>0.35</x:v>
      </x:c>
      <x:c r="E134" s="6" t="n"/>
      <x:c r="F134" s="7">
        <x:f>IF(E134="","",E134/10*D134)</x:f>
      </x:c>
    </x:row>
    <x:row r="135">
      <x:c r="A135" s="4" t="inlineStr">
        <x:is>
          <x:t xml:space="preserve">D7_SC3</x:t>
        </x:is>
      </x:c>
      <x:c r="B135" s="4" t="inlineStr">
        <x:is>
          <x:t xml:space="preserve">D7_SS8</x:t>
        </x:is>
      </x:c>
      <x:c r="C135" s="4" t="inlineStr">
        <x:is>
          <x:t xml:space="preserve">Force majeure</x:t>
        </x:is>
      </x:c>
      <x:c r="D135" s="5" t="n">
        <x:v>0.35</x:v>
      </x:c>
      <x:c r="E135" s="6" t="n"/>
      <x:c r="F135" s="7">
        <x:f>IF(E135="","",E135/10*D135)</x:f>
      </x:c>
    </x:row>
    <x:row r="136">
      <x:c r="A136" s="4" t="inlineStr">
        <x:is>
          <x:t xml:space="preserve">D7_SC3</x:t>
        </x:is>
      </x:c>
      <x:c r="B136" s="4" t="inlineStr">
        <x:is>
          <x:t xml:space="preserve">D7_SS9</x:t>
        </x:is>
      </x:c>
      <x:c r="C136" s="4" t="inlineStr">
        <x:is>
          <x:t xml:space="preserve">Assurabilité des risques résiduels</x:t>
        </x:is>
      </x:c>
      <x:c r="D136" s="5" t="n">
        <x:v>0.3</x:v>
      </x:c>
      <x:c r="E136" s="6" t="n"/>
      <x:c r="F136" s="7">
        <x:f>IF(E136="","",E136/10*D136)</x:f>
      </x:c>
    </x:row>
    <x:row r="137">
      <x:c r="A137" s="4" t="inlineStr">
        <x:is>
          <x:t xml:space="preserve">D7_SC4</x:t>
        </x:is>
      </x:c>
      <x:c r="B137" s="4" t="inlineStr">
        <x:is>
          <x:t xml:space="preserve">D7_SS10</x:t>
        </x:is>
      </x:c>
      <x:c r="C137" s="4" t="inlineStr">
        <x:is>
          <x:t xml:space="preserve">Direct agreements</x:t>
        </x:is>
      </x:c>
      <x:c r="D137" s="5" t="n">
        <x:v>0.35</x:v>
      </x:c>
      <x:c r="E137" s="6" t="n"/>
      <x:c r="F137" s="7">
        <x:f>IF(E137="","",E137/10*D137)</x:f>
      </x:c>
    </x:row>
    <x:row r="138">
      <x:c r="A138" s="4" t="inlineStr">
        <x:is>
          <x:t xml:space="preserve">D7_SC4</x:t>
        </x:is>
      </x:c>
      <x:c r="B138" s="4" t="inlineStr">
        <x:is>
          <x:t xml:space="preserve">D7_SS11</x:t>
        </x:is>
      </x:c>
      <x:c r="C138" s="4" t="inlineStr">
        <x:is>
          <x:t xml:space="preserve">Step-in rights</x:t>
        </x:is>
      </x:c>
      <x:c r="D138" s="5" t="n">
        <x:v>0.35</x:v>
      </x:c>
      <x:c r="E138" s="6" t="n"/>
      <x:c r="F138" s="7">
        <x:f>IF(E138="","",E138/10*D138)</x:f>
      </x:c>
    </x:row>
    <x:row r="139">
      <x:c r="A139" s="4" t="inlineStr">
        <x:is>
          <x:t xml:space="preserve">D7_SC4</x:t>
        </x:is>
      </x:c>
      <x:c r="B139" s="4" t="inlineStr">
        <x:is>
          <x:t xml:space="preserve">D7_SS12</x:t>
        </x:is>
      </x:c>
      <x:c r="C139" s="4" t="inlineStr">
        <x:is>
          <x:t xml:space="preserve">Security package enforceability</x:t>
        </x:is>
      </x:c>
      <x:c r="D139" s="5" t="n">
        <x:v>0.3</x:v>
      </x:c>
      <x:c r="E139" s="6" t="n"/>
      <x:c r="F139" s="7">
        <x:f>IF(E139="","",E139/10*D139)</x:f>
      </x:c>
    </x:row>
    <x:row r="140">
      <x:c r="A140" s="4" t="inlineStr">
        <x:is>
          <x:t xml:space="preserve">D7_SC5</x:t>
        </x:is>
      </x:c>
      <x:c r="B140" s="4" t="inlineStr">
        <x:is>
          <x:t xml:space="preserve">D7_SS13</x:t>
        </x:is>
      </x:c>
      <x:c r="C140" s="4" t="inlineStr">
        <x:is>
          <x:t xml:space="preserve">Risque résiduel non transféré</x:t>
        </x:is>
      </x:c>
      <x:c r="D140" s="5" t="n">
        <x:v>0.4</x:v>
      </x:c>
      <x:c r="E140" s="6" t="n"/>
      <x:c r="F140" s="7">
        <x:f>IF(E140="","",E140/10*D140)</x:f>
      </x:c>
    </x:row>
    <x:row r="141">
      <x:c r="A141" s="4" t="inlineStr">
        <x:is>
          <x:t xml:space="preserve">D7_SC5</x:t>
        </x:is>
      </x:c>
      <x:c r="B141" s="4" t="inlineStr">
        <x:is>
          <x:t xml:space="preserve">D7_SS14</x:t>
        </x:is>
      </x:c>
      <x:c r="C141" s="4" t="inlineStr">
        <x:is>
          <x:t xml:space="preserve">Interdépendances contractuelles</x:t>
        </x:is>
      </x:c>
      <x:c r="D141" s="5" t="n">
        <x:v>0.3</x:v>
      </x:c>
      <x:c r="E141" s="6" t="n"/>
      <x:c r="F141" s="7">
        <x:f>IF(E141="","",E141/10*D141)</x:f>
      </x:c>
    </x:row>
    <x:row r="142">
      <x:c r="A142" s="4" t="inlineStr">
        <x:is>
          <x:t xml:space="preserve">D7_SC5</x:t>
        </x:is>
      </x:c>
      <x:c r="B142" s="4" t="inlineStr">
        <x:is>
          <x:t xml:space="preserve">D7_SS15</x:t>
        </x:is>
      </x:c>
      <x:c r="C142" s="4" t="inlineStr">
        <x:is>
          <x:t xml:space="preserve">Corrélation des risques</x:t>
        </x:is>
      </x:c>
      <x:c r="D142" s="5" t="n">
        <x:v>0.3</x:v>
      </x:c>
      <x:c r="E142" s="6" t="n"/>
      <x:c r="F142" s="7">
        <x:f>IF(E142="","",E142/10*D142)</x:f>
      </x:c>
    </x:row>
    <x:row r="143">
      <x:c r="A143" s="4" t="inlineStr">
        <x:is>
          <x:t xml:space="preserve">D8_SC1</x:t>
        </x:is>
      </x:c>
      <x:c r="B143" s="4" t="inlineStr">
        <x:is>
          <x:t xml:space="preserve">D8_SS1</x:t>
        </x:is>
      </x:c>
      <x:c r="C143" s="4" t="inlineStr">
        <x:is>
          <x:t xml:space="preserve">Exhaustivité documentation financement</x:t>
        </x:is>
      </x:c>
      <x:c r="D143" s="5" t="n">
        <x:v>0.4</x:v>
      </x:c>
      <x:c r="E143" s="6" t="n"/>
      <x:c r="F143" s="7">
        <x:f>IF(E143="","",E143/10*D143)</x:f>
      </x:c>
    </x:row>
    <x:row r="144">
      <x:c r="A144" s="4" t="inlineStr">
        <x:is>
          <x:t xml:space="preserve">D8_SC1</x:t>
        </x:is>
      </x:c>
      <x:c r="B144" s="4" t="inlineStr">
        <x:is>
          <x:t xml:space="preserve">D8_SS2</x:t>
        </x:is>
      </x:c>
      <x:c r="C144" s="4" t="inlineStr">
        <x:is>
          <x:t xml:space="preserve">Cohérence inter-documents</x:t>
        </x:is>
      </x:c>
      <x:c r="D144" s="5" t="n">
        <x:v>0.35</x:v>
      </x:c>
      <x:c r="E144" s="6" t="n"/>
      <x:c r="F144" s="7">
        <x:f>IF(E144="","",E144/10*D144)</x:f>
      </x:c>
    </x:row>
    <x:row r="145">
      <x:c r="A145" s="4" t="inlineStr">
        <x:is>
          <x:t xml:space="preserve">D8_SC1</x:t>
        </x:is>
      </x:c>
      <x:c r="B145" s="4" t="inlineStr">
        <x:is>
          <x:t xml:space="preserve">D8_SS3</x:t>
        </x:is>
      </x:c>
      <x:c r="C145" s="4" t="inlineStr">
        <x:is>
          <x:t xml:space="preserve">Conditions préalables / CPs</x:t>
        </x:is>
      </x:c>
      <x:c r="D145" s="5" t="n">
        <x:v>0.25</x:v>
      </x:c>
      <x:c r="E145" s="6" t="n"/>
      <x:c r="F145" s="7">
        <x:f>IF(E145="","",E145/10*D145)</x:f>
      </x:c>
    </x:row>
    <x:row r="146">
      <x:c r="A146" s="4" t="inlineStr">
        <x:is>
          <x:t xml:space="preserve">D8_SC2</x:t>
        </x:is>
      </x:c>
      <x:c r="B146" s="4" t="inlineStr">
        <x:is>
          <x:t xml:space="preserve">D8_SS4</x:t>
        </x:is>
      </x:c>
      <x:c r="C146" s="4" t="inlineStr">
        <x:is>
          <x:t xml:space="preserve">Disponibilité contrats projet</x:t>
        </x:is>
      </x:c>
      <x:c r="D146" s="5" t="n">
        <x:v>0.35</x:v>
      </x:c>
      <x:c r="E146" s="6" t="n"/>
      <x:c r="F146" s="7">
        <x:f>IF(E146="","",E146/10*D146)</x:f>
      </x:c>
    </x:row>
    <x:row r="147">
      <x:c r="A147" s="4" t="inlineStr">
        <x:is>
          <x:t xml:space="preserve">D8_SC2</x:t>
        </x:is>
      </x:c>
      <x:c r="B147" s="4" t="inlineStr">
        <x:is>
          <x:t xml:space="preserve">D8_SS5</x:t>
        </x:is>
      </x:c>
      <x:c r="C147" s="4" t="inlineStr">
        <x:is>
          <x:t xml:space="preserve">Absence de contradictions majeures</x:t>
        </x:is>
      </x:c>
      <x:c r="D147" s="5" t="n">
        <x:v>0.35</x:v>
      </x:c>
      <x:c r="E147" s="6" t="n"/>
      <x:c r="F147" s="7">
        <x:f>IF(E147="","",E147/10*D147)</x:f>
      </x:c>
    </x:row>
    <x:row r="148">
      <x:c r="A148" s="4" t="inlineStr">
        <x:is>
          <x:t xml:space="preserve">D8_SC2</x:t>
        </x:is>
      </x:c>
      <x:c r="B148" s="4" t="inlineStr">
        <x:is>
          <x:t xml:space="preserve">D8_SS6</x:t>
        </x:is>
      </x:c>
      <x:c r="C148" s="4" t="inlineStr">
        <x:is>
          <x:t xml:space="preserve">Clarté des obligations</x:t>
        </x:is>
      </x:c>
      <x:c r="D148" s="5" t="n">
        <x:v>0.3</x:v>
      </x:c>
      <x:c r="E148" s="6" t="n"/>
      <x:c r="F148" s="7">
        <x:f>IF(E148="","",E148/10*D148)</x:f>
      </x:c>
    </x:row>
    <x:row r="149">
      <x:c r="A149" s="4" t="inlineStr">
        <x:is>
          <x:t xml:space="preserve">D8_SC3</x:t>
        </x:is>
      </x:c>
      <x:c r="B149" s="4" t="inlineStr">
        <x:is>
          <x:t xml:space="preserve">D8_SS7</x:t>
        </x:is>
      </x:c>
      <x:c r="C149" s="4" t="inlineStr">
        <x:is>
          <x:t xml:space="preserve">Validité/enforceability contrats</x:t>
        </x:is>
      </x:c>
      <x:c r="D149" s="5" t="n">
        <x:v>0.4</x:v>
      </x:c>
      <x:c r="E149" s="6" t="n"/>
      <x:c r="F149" s="7">
        <x:f>IF(E149="","",E149/10*D149)</x:f>
      </x:c>
    </x:row>
    <x:row r="150">
      <x:c r="A150" s="4" t="inlineStr">
        <x:is>
          <x:t xml:space="preserve">D8_SC3</x:t>
        </x:is>
      </x:c>
      <x:c r="B150" s="4" t="inlineStr">
        <x:is>
          <x:t xml:space="preserve">D8_SS8</x:t>
        </x:is>
      </x:c>
      <x:c r="C150" s="4" t="inlineStr">
        <x:is>
          <x:t xml:space="preserve">Sûretés opposables</x:t>
        </x:is>
      </x:c>
      <x:c r="D150" s="5" t="n">
        <x:v>0.35</x:v>
      </x:c>
      <x:c r="E150" s="6" t="n"/>
      <x:c r="F150" s="7">
        <x:f>IF(E150="","",E150/10*D150)</x:f>
      </x:c>
    </x:row>
    <x:row r="151">
      <x:c r="A151" s="4" t="inlineStr">
        <x:is>
          <x:t xml:space="preserve">D8_SC3</x:t>
        </x:is>
      </x:c>
      <x:c r="B151" s="4" t="inlineStr">
        <x:is>
          <x:t xml:space="preserve">D8_SS9</x:t>
        </x:is>
      </x:c>
      <x:c r="C151" s="4" t="inlineStr">
        <x:is>
          <x:t xml:space="preserve">Juridiction / arbitrage</x:t>
        </x:is>
      </x:c>
      <x:c r="D151" s="5" t="n">
        <x:v>0.25</x:v>
      </x:c>
      <x:c r="E151" s="6" t="n"/>
      <x:c r="F151" s="7">
        <x:f>IF(E151="","",E151/10*D151)</x:f>
      </x:c>
    </x:row>
    <x:row r="152">
      <x:c r="A152" s="4" t="inlineStr">
        <x:is>
          <x:t xml:space="preserve">D8_SC4</x:t>
        </x:is>
      </x:c>
      <x:c r="B152" s="4" t="inlineStr">
        <x:is>
          <x:t xml:space="preserve">D8_SS10</x:t>
        </x:is>
      </x:c>
      <x:c r="C152" s="4" t="inlineStr">
        <x:is>
          <x:t xml:space="preserve">Qualité revue juridique</x:t>
        </x:is>
      </x:c>
      <x:c r="D152" s="5" t="n">
        <x:v>0.4</x:v>
      </x:c>
      <x:c r="E152" s="6" t="n"/>
      <x:c r="F152" s="7">
        <x:f>IF(E152="","",E152/10*D152)</x:f>
      </x:c>
    </x:row>
    <x:row r="153">
      <x:c r="A153" s="4" t="inlineStr">
        <x:is>
          <x:t xml:space="preserve">D8_SC4</x:t>
        </x:is>
      </x:c>
      <x:c r="B153" s="4" t="inlineStr">
        <x:is>
          <x:t xml:space="preserve">D8_SS11</x:t>
        </x:is>
      </x:c>
      <x:c r="C153" s="4" t="inlineStr">
        <x:is>
          <x:t xml:space="preserve">Réserves majeures identifiées</x:t>
        </x:is>
      </x:c>
      <x:c r="D153" s="5" t="n">
        <x:v>0.35</x:v>
      </x:c>
      <x:c r="E153" s="6" t="n"/>
      <x:c r="F153" s="7">
        <x:f>IF(E153="","",E153/10*D153)</x:f>
      </x:c>
    </x:row>
    <x:row r="154">
      <x:c r="A154" s="4" t="inlineStr">
        <x:is>
          <x:t xml:space="preserve">D8_SC4</x:t>
        </x:is>
      </x:c>
      <x:c r="B154" s="4" t="inlineStr">
        <x:is>
          <x:t xml:space="preserve">D8_SS12</x:t>
        </x:is>
      </x:c>
      <x:c r="C154" s="4" t="inlineStr">
        <x:is>
          <x:t xml:space="preserve">Plan de remédiation</x:t>
        </x:is>
      </x:c>
      <x:c r="D154" s="5" t="n">
        <x:v>0.25</x:v>
      </x:c>
      <x:c r="E154" s="6" t="n"/>
      <x:c r="F154" s="7">
        <x:f>IF(E154="","",E154/10*D154)</x:f>
      </x:c>
    </x:row>
    <x:row r="155">
      <x:c r="A155" s="4" t="inlineStr">
        <x:is>
          <x:t xml:space="preserve">D8_SC5</x:t>
        </x:is>
      </x:c>
      <x:c r="B155" s="4" t="inlineStr">
        <x:is>
          <x:t xml:space="preserve">D8_SS13</x:t>
        </x:is>
      </x:c>
      <x:c r="C155" s="4" t="inlineStr">
        <x:is>
          <x:t xml:space="preserve">Conformité réglementaire</x:t>
        </x:is>
      </x:c>
      <x:c r="D155" s="5" t="n">
        <x:v>0.4</x:v>
      </x:c>
      <x:c r="E155" s="6" t="n"/>
      <x:c r="F155" s="7">
        <x:f>IF(E155="","",E155/10*D155)</x:f>
      </x:c>
    </x:row>
    <x:row r="156">
      <x:c r="A156" s="4" t="inlineStr">
        <x:is>
          <x:t xml:space="preserve">D8_SC5</x:t>
        </x:is>
      </x:c>
      <x:c r="B156" s="4" t="inlineStr">
        <x:is>
          <x:t xml:space="preserve">D8_SS14</x:t>
        </x:is>
      </x:c>
      <x:c r="C156" s="4" t="inlineStr">
        <x:is>
          <x:t xml:space="preserve">Risque sanctions / contentieux</x:t>
        </x:is>
      </x:c>
      <x:c r="D156" s="5" t="n">
        <x:v>0.35</x:v>
      </x:c>
      <x:c r="E156" s="6" t="n"/>
      <x:c r="F156" s="7">
        <x:f>IF(E156="","",E156/10*D156)</x:f>
      </x:c>
    </x:row>
    <x:row r="157">
      <x:c r="A157" s="4" t="inlineStr">
        <x:is>
          <x:t xml:space="preserve">D8_SC5</x:t>
        </x:is>
      </x:c>
      <x:c r="B157" s="4" t="inlineStr">
        <x:is>
          <x:t xml:space="preserve">D8_SS15</x:t>
        </x:is>
      </x:c>
      <x:c r="C157" s="4" t="inlineStr">
        <x:is>
          <x:t xml:space="preserve">KYC/AML/beneficial ownership</x:t>
        </x:is>
      </x:c>
      <x:c r="D157" s="5" t="n">
        <x:v>0.25</x:v>
      </x:c>
      <x:c r="E157" s="6" t="n"/>
      <x:c r="F157" s="7">
        <x:f>IF(E157="","",E157/10*D157)</x:f>
      </x:c>
    </x:row>
    <x:row r="158">
      <x:c r="A158" s="4" t="inlineStr">
        <x:is>
          <x:t xml:space="preserve">D9_SC1</x:t>
        </x:is>
      </x:c>
      <x:c r="B158" s="4" t="inlineStr">
        <x:is>
          <x:t xml:space="preserve">D9_SS1</x:t>
        </x:is>
      </x:c>
      <x:c r="C158" s="4" t="inlineStr">
        <x:is>
          <x:t xml:space="preserve">Impacts environnementaux directs</x:t>
        </x:is>
      </x:c>
      <x:c r="D158" s="5" t="n">
        <x:v>0.4</x:v>
      </x:c>
      <x:c r="E158" s="6" t="n"/>
      <x:c r="F158" s="7">
        <x:f>IF(E158="","",E158/10*D158)</x:f>
      </x:c>
    </x:row>
    <x:row r="159">
      <x:c r="A159" s="4" t="inlineStr">
        <x:is>
          <x:t xml:space="preserve">D9_SC1</x:t>
        </x:is>
      </x:c>
      <x:c r="B159" s="4" t="inlineStr">
        <x:is>
          <x:t xml:space="preserve">D9_SS2</x:t>
        </x:is>
      </x:c>
      <x:c r="C159" s="4" t="inlineStr">
        <x:is>
          <x:t xml:space="preserve">Mesures de mitigation</x:t>
        </x:is>
      </x:c>
      <x:c r="D159" s="5" t="n">
        <x:v>0.35</x:v>
      </x:c>
      <x:c r="E159" s="6" t="n"/>
      <x:c r="F159" s="7">
        <x:f>IF(E159="","",E159/10*D159)</x:f>
      </x:c>
    </x:row>
    <x:row r="160">
      <x:c r="A160" s="4" t="inlineStr">
        <x:is>
          <x:t xml:space="preserve">D9_SC1</x:t>
        </x:is>
      </x:c>
      <x:c r="B160" s="4" t="inlineStr">
        <x:is>
          <x:t xml:space="preserve">D9_SS3</x:t>
        </x:is>
      </x:c>
      <x:c r="C160" s="4" t="inlineStr">
        <x:is>
          <x:t xml:space="preserve">Sensibilité biodiversité / eau / pollution</x:t>
        </x:is>
      </x:c>
      <x:c r="D160" s="5" t="n">
        <x:v>0.25</x:v>
      </x:c>
      <x:c r="E160" s="6" t="n"/>
      <x:c r="F160" s="7">
        <x:f>IF(E160="","",E160/10*D160)</x:f>
      </x:c>
    </x:row>
    <x:row r="161">
      <x:c r="A161" s="4" t="inlineStr">
        <x:is>
          <x:t xml:space="preserve">D9_SC2</x:t>
        </x:is>
      </x:c>
      <x:c r="B161" s="4" t="inlineStr">
        <x:is>
          <x:t xml:space="preserve">D9_SS4</x:t>
        </x:is>
      </x:c>
      <x:c r="C161" s="4" t="inlineStr">
        <x:is>
          <x:t xml:space="preserve">Exposition risques physiques</x:t>
        </x:is>
      </x:c>
      <x:c r="D161" s="5" t="n">
        <x:v>0.4</x:v>
      </x:c>
      <x:c r="E161" s="6" t="n"/>
      <x:c r="F161" s="7">
        <x:f>IF(E161="","",E161/10*D161)</x:f>
      </x:c>
    </x:row>
    <x:row r="162">
      <x:c r="A162" s="4" t="inlineStr">
        <x:is>
          <x:t xml:space="preserve">D9_SC2</x:t>
        </x:is>
      </x:c>
      <x:c r="B162" s="4" t="inlineStr">
        <x:is>
          <x:t xml:space="preserve">D9_SS5</x:t>
        </x:is>
      </x:c>
      <x:c r="C162" s="4" t="inlineStr">
        <x:is>
          <x:t xml:space="preserve">Résilience du design</x:t>
        </x:is>
      </x:c>
      <x:c r="D162" s="5" t="n">
        <x:v>0.35</x:v>
      </x:c>
      <x:c r="E162" s="6" t="n"/>
      <x:c r="F162" s="7">
        <x:f>IF(E162="","",E162/10*D162)</x:f>
      </x:c>
    </x:row>
    <x:row r="163">
      <x:c r="A163" s="4" t="inlineStr">
        <x:is>
          <x:t xml:space="preserve">D9_SC2</x:t>
        </x:is>
      </x:c>
      <x:c r="B163" s="4" t="inlineStr">
        <x:is>
          <x:t xml:space="preserve">D9_SS6</x:t>
        </x:is>
      </x:c>
      <x:c r="C163" s="4" t="inlineStr">
        <x:is>
          <x:t xml:space="preserve">Couverture assurantielle climat</x:t>
        </x:is>
      </x:c>
      <x:c r="D163" s="5" t="n">
        <x:v>0.25</x:v>
      </x:c>
      <x:c r="E163" s="6" t="n"/>
      <x:c r="F163" s="7">
        <x:f>IF(E163="","",E163/10*D163)</x:f>
      </x:c>
    </x:row>
    <x:row r="164">
      <x:c r="A164" s="4" t="inlineStr">
        <x:is>
          <x:t xml:space="preserve">D9_SC3</x:t>
        </x:is>
      </x:c>
      <x:c r="B164" s="4" t="inlineStr">
        <x:is>
          <x:t xml:space="preserve">D9_SS7</x:t>
        </x:is>
      </x:c>
      <x:c r="C164" s="4" t="inlineStr">
        <x:is>
          <x:t xml:space="preserve">Exposition risque de transition</x:t>
        </x:is>
      </x:c>
      <x:c r="D164" s="5" t="n">
        <x:v>0.4</x:v>
      </x:c>
      <x:c r="E164" s="6" t="n"/>
      <x:c r="F164" s="7">
        <x:f>IF(E164="","",E164/10*D164)</x:f>
      </x:c>
    </x:row>
    <x:row r="165">
      <x:c r="A165" s="4" t="inlineStr">
        <x:is>
          <x:t xml:space="preserve">D9_SC3</x:t>
        </x:is>
      </x:c>
      <x:c r="B165" s="4" t="inlineStr">
        <x:is>
          <x:t xml:space="preserve">D9_SS8</x:t>
        </x:is>
      </x:c>
      <x:c r="C165" s="4" t="inlineStr">
        <x:is>
          <x:t xml:space="preserve">Sensibilité carbone / taxonomie</x:t>
        </x:is>
      </x:c>
      <x:c r="D165" s="5" t="n">
        <x:v>0.35</x:v>
      </x:c>
      <x:c r="E165" s="6" t="n"/>
      <x:c r="F165" s="7">
        <x:f>IF(E165="","",E165/10*D165)</x:f>
      </x:c>
    </x:row>
    <x:row r="166">
      <x:c r="A166" s="4" t="inlineStr">
        <x:is>
          <x:t xml:space="preserve">D9_SC3</x:t>
        </x:is>
      </x:c>
      <x:c r="B166" s="4" t="inlineStr">
        <x:is>
          <x:t xml:space="preserve">D9_SS9</x:t>
        </x:is>
      </x:c>
      <x:c r="C166" s="4" t="inlineStr">
        <x:is>
          <x:t xml:space="preserve">Évolutivité technologique bas-carbone</x:t>
        </x:is>
      </x:c>
      <x:c r="D166" s="5" t="n">
        <x:v>0.25</x:v>
      </x:c>
      <x:c r="E166" s="6" t="n"/>
      <x:c r="F166" s="7">
        <x:f>IF(E166="","",E166/10*D166)</x:f>
      </x:c>
    </x:row>
    <x:row r="167">
      <x:c r="A167" s="4" t="inlineStr">
        <x:is>
          <x:t xml:space="preserve">D9_SC4</x:t>
        </x:is>
      </x:c>
      <x:c r="B167" s="4" t="inlineStr">
        <x:is>
          <x:t xml:space="preserve">D9_SS10</x:t>
        </x:is>
      </x:c>
      <x:c r="C167" s="4" t="inlineStr">
        <x:is>
          <x:t xml:space="preserve">Acceptabilité sociale</x:t>
        </x:is>
      </x:c>
      <x:c r="D167" s="5" t="n">
        <x:v>0.4</x:v>
      </x:c>
      <x:c r="E167" s="6" t="n"/>
      <x:c r="F167" s="7">
        <x:f>IF(E167="","",E167/10*D167)</x:f>
      </x:c>
    </x:row>
    <x:row r="168">
      <x:c r="A168" s="4" t="inlineStr">
        <x:is>
          <x:t xml:space="preserve">D9_SC4</x:t>
        </x:is>
      </x:c>
      <x:c r="B168" s="4" t="inlineStr">
        <x:is>
          <x:t xml:space="preserve">D9_SS11</x:t>
        </x:is>
      </x:c>
      <x:c r="C168" s="4" t="inlineStr">
        <x:is>
          <x:t xml:space="preserve">Risque social / communautés</x:t>
        </x:is>
      </x:c>
      <x:c r="D168" s="5" t="n">
        <x:v>0.35</x:v>
      </x:c>
      <x:c r="E168" s="6" t="n"/>
      <x:c r="F168" s="7">
        <x:f>IF(E168="","",E168/10*D168)</x:f>
      </x:c>
    </x:row>
    <x:row r="169">
      <x:c r="A169" s="4" t="inlineStr">
        <x:is>
          <x:t xml:space="preserve">D9_SC4</x:t>
        </x:is>
      </x:c>
      <x:c r="B169" s="4" t="inlineStr">
        <x:is>
          <x:t xml:space="preserve">D9_SS12</x:t>
        </x:is>
      </x:c>
      <x:c r="C169" s="4" t="inlineStr">
        <x:is>
          <x:t xml:space="preserve">Santé/sécurité des parties prenantes</x:t>
        </x:is>
      </x:c>
      <x:c r="D169" s="5" t="n">
        <x:v>0.25</x:v>
      </x:c>
      <x:c r="E169" s="6" t="n"/>
      <x:c r="F169" s="7">
        <x:f>IF(E169="","",E169/10*D169)</x:f>
      </x:c>
    </x:row>
    <x:row r="170">
      <x:c r="A170" s="4" t="inlineStr">
        <x:is>
          <x:t xml:space="preserve">D9_SC5</x:t>
        </x:is>
      </x:c>
      <x:c r="B170" s="4" t="inlineStr">
        <x:is>
          <x:t xml:space="preserve">D9_SS13</x:t>
        </x:is>
      </x:c>
      <x:c r="C170" s="4" t="inlineStr">
        <x:is>
          <x:t xml:space="preserve">Plan parties prenantes</x:t>
        </x:is>
      </x:c>
      <x:c r="D170" s="5" t="n">
        <x:v>0.4</x:v>
      </x:c>
      <x:c r="E170" s="6" t="n"/>
      <x:c r="F170" s="7">
        <x:f>IF(E170="","",E170/10*D170)</x:f>
      </x:c>
    </x:row>
    <x:row r="171">
      <x:c r="A171" s="4" t="inlineStr">
        <x:is>
          <x:t xml:space="preserve">D9_SC5</x:t>
        </x:is>
      </x:c>
      <x:c r="B171" s="4" t="inlineStr">
        <x:is>
          <x:t xml:space="preserve">D9_SS14</x:t>
        </x:is>
      </x:c>
      <x:c r="C171" s="4" t="inlineStr">
        <x:is>
          <x:t xml:space="preserve">Gestion plaintes / recours</x:t>
        </x:is>
      </x:c>
      <x:c r="D171" s="5" t="n">
        <x:v>0.3</x:v>
      </x:c>
      <x:c r="E171" s="6" t="n"/>
      <x:c r="F171" s="7">
        <x:f>IF(E171="","",E171/10*D171)</x:f>
      </x:c>
    </x:row>
    <x:row r="172">
      <x:c r="A172" s="4" t="inlineStr">
        <x:is>
          <x:t xml:space="preserve">D9_SC5</x:t>
        </x:is>
      </x:c>
      <x:c r="B172" s="4" t="inlineStr">
        <x:is>
          <x:t xml:space="preserve">D9_SS15</x:t>
        </x:is>
      </x:c>
      <x:c r="C172" s="4" t="inlineStr">
        <x:is>
          <x:t xml:space="preserve">Contenu local / retombées positives</x:t>
        </x:is>
      </x:c>
      <x:c r="D172" s="5" t="n">
        <x:v>0.3</x:v>
      </x:c>
      <x:c r="E172" s="6" t="n"/>
      <x:c r="F172" s="7">
        <x:f>IF(E172="","",E172/10*D172)</x:f>
      </x:c>
    </x:row>
    <x:row r="173">
      <x:c r="A173" s="4" t="inlineStr">
        <x:is>
          <x:t xml:space="preserve">D9_SC6</x:t>
        </x:is>
      </x:c>
      <x:c r="B173" s="4" t="inlineStr">
        <x:is>
          <x:t xml:space="preserve">D9_SS16</x:t>
        </x:is>
      </x:c>
      <x:c r="C173" s="4" t="inlineStr">
        <x:is>
          <x:t xml:space="preserve">Système de management ESG</x:t>
        </x:is>
      </x:c>
      <x:c r="D173" s="5" t="n">
        <x:v>0.4</x:v>
      </x:c>
      <x:c r="E173" s="6" t="n"/>
      <x:c r="F173" s="7">
        <x:f>IF(E173="","",E173/10*D173)</x:f>
      </x:c>
    </x:row>
    <x:row r="174">
      <x:c r="A174" s="4" t="inlineStr">
        <x:is>
          <x:t xml:space="preserve">D9_SC6</x:t>
        </x:is>
      </x:c>
      <x:c r="B174" s="4" t="inlineStr">
        <x:is>
          <x:t xml:space="preserve">D9_SS17</x:t>
        </x:is>
      </x:c>
      <x:c r="C174" s="4" t="inlineStr">
        <x:is>
          <x:t xml:space="preserve">Indicateurs/KPIs ESG</x:t>
        </x:is>
      </x:c>
      <x:c r="D174" s="5" t="n">
        <x:v>0.3</x:v>
      </x:c>
      <x:c r="E174" s="6" t="n"/>
      <x:c r="F174" s="7">
        <x:f>IF(E174="","",E174/10*D174)</x:f>
      </x:c>
    </x:row>
    <x:row r="175">
      <x:c r="A175" s="4" t="inlineStr">
        <x:is>
          <x:t xml:space="preserve">D9_SC6</x:t>
        </x:is>
      </x:c>
      <x:c r="B175" s="4" t="inlineStr">
        <x:is>
          <x:t xml:space="preserve">D9_SS18</x:t>
        </x:is>
      </x:c>
      <x:c r="C175" s="4" t="inlineStr">
        <x:is>
          <x:t xml:space="preserve">Audit / monitoring ESG</x:t>
        </x:is>
      </x:c>
      <x:c r="D175" s="5" t="n">
        <x:v>0.3</x:v>
      </x:c>
      <x:c r="E175" s="6" t="n"/>
      <x:c r="F175" s="7">
        <x:f>IF(E175="","",E175/10*D175)</x:f>
      </x:c>
    </x:row>
    <x:row r="176">
      <x:c r="A176" s="4" t="inlineStr">
        <x:is>
          <x:t xml:space="preserve">D9_SC7</x:t>
        </x:is>
      </x:c>
      <x:c r="B176" s="4" t="inlineStr">
        <x:is>
          <x:t xml:space="preserve">D9_SS19</x:t>
        </x:is>
      </x:c>
      <x:c r="C176" s="4" t="inlineStr">
        <x:is>
          <x:t xml:space="preserve">Intégration climat dans gouvernance</x:t>
        </x:is>
      </x:c>
      <x:c r="D176" s="5" t="n">
        <x:v>0.4</x:v>
      </x:c>
      <x:c r="E176" s="6" t="n"/>
      <x:c r="F176" s="7">
        <x:f>IF(E176="","",E176/10*D176)</x:f>
      </x:c>
    </x:row>
    <x:row r="177">
      <x:c r="A177" s="4" t="inlineStr">
        <x:is>
          <x:t xml:space="preserve">D9_SC7</x:t>
        </x:is>
      </x:c>
      <x:c r="B177" s="4" t="inlineStr">
        <x:is>
          <x:t xml:space="preserve">D9_SS20</x:t>
        </x:is>
      </x:c>
      <x:c r="C177" s="4" t="inlineStr">
        <x:is>
          <x:t xml:space="preserve">Plan d'adaptation / transition</x:t>
        </x:is>
      </x:c>
      <x:c r="D177" s="5" t="n">
        <x:v>0.35</x:v>
      </x:c>
      <x:c r="E177" s="6" t="n"/>
      <x:c r="F177" s="7">
        <x:f>IF(E177="","",E177/10*D177)</x:f>
      </x:c>
    </x:row>
    <x:row r="178">
      <x:c r="A178" s="4" t="inlineStr">
        <x:is>
          <x:t xml:space="preserve">D9_SC7</x:t>
        </x:is>
      </x:c>
      <x:c r="B178" s="4" t="inlineStr">
        <x:is>
          <x:t xml:space="preserve">D9_SS21</x:t>
        </x:is>
      </x:c>
      <x:c r="C178" s="4" t="inlineStr">
        <x:is>
          <x:t xml:space="preserve">Qualité reporting climat</x:t>
        </x:is>
      </x:c>
      <x:c r="D178" s="5" t="n">
        <x:v>0.25</x:v>
      </x:c>
      <x:c r="E178" s="6" t="n"/>
      <x:c r="F178" s="7">
        <x:f>IF(E178="","",E178/10*D178)</x:f>
      </x:c>
    </x:row>
  </x:sheetData>
  <x:pageMargins left="0.7" right="0.7" top="0.75" bottom="0.75" header="0.3" footer="0.3"/>
  <x:tableParts count="1">
    <x:tablePart xmlns:r="http://schemas.openxmlformats.org/officeDocument/2006/relationships" r:id="R2068c7994978408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2" customWidth="1"/>
    <x:col min="2" max="2" width="26" customWidth="1"/>
    <x:col min="3" max="3" width="12" customWidth="1"/>
    <x:col min="4" max="4" width="12" customWidth="1"/>
    <x:col min="5" max="5" width="26" customWidth="1"/>
    <x:col min="6" max="6" width="12" customWidth="1"/>
    <x:col min="7" max="7" width="14" customWidth="1"/>
    <x:col min="8" max="8" width="30" customWidth="1"/>
    <x:col min="9" max="9" width="14" customWidth="1"/>
    <x:col min="10" max="10" width="16" customWidth="1"/>
    <x:col min="11" max="11" width="38" customWidth="1"/>
    <x:col min="12" max="12" width="16" customWidth="1"/>
    <x:col min="13" max="13" width="28" customWidth="1"/>
    <x:col min="14" max="14" width="28" customWidth="1"/>
    <x:col min="15" max="15" width="10" customWidth="1"/>
    <x:col min="16" max="16" width="12" customWidth="1"/>
    <x:col min="17" max="17" width="12" customWidth="1"/>
  </x:cols>
  <x:sheetData>
    <x:row r="1">
      <x:c r="A1" s="3" t="inlineStr">
        <x:is>
          <x:t xml:space="preserve">DomainCode</x:t>
        </x:is>
      </x:c>
      <x:c r="B1" s="3" t="inlineStr">
        <x:is>
          <x:t xml:space="preserve">Domaine</x:t>
        </x:is>
      </x:c>
      <x:c r="C1" s="3" t="inlineStr">
        <x:is>
          <x:t xml:space="preserve">Poids Domaine</x:t>
        </x:is>
      </x:c>
      <x:c r="D1" s="3" t="inlineStr">
        <x:is>
          <x:t xml:space="preserve">CritCode</x:t>
        </x:is>
      </x:c>
      <x:c r="E1" s="3" t="inlineStr">
        <x:is>
          <x:t xml:space="preserve">Critère</x:t>
        </x:is>
      </x:c>
      <x:c r="F1" s="3" t="inlineStr">
        <x:is>
          <x:t xml:space="preserve">Poids Critère</x:t>
        </x:is>
      </x:c>
      <x:c r="G1" s="3" t="inlineStr">
        <x:is>
          <x:t xml:space="preserve">SousCritCode</x:t>
        </x:is>
      </x:c>
      <x:c r="H1" s="3" t="inlineStr">
        <x:is>
          <x:t xml:space="preserve">Sous-critère</x:t>
        </x:is>
      </x:c>
      <x:c r="I1" s="3" t="inlineStr">
        <x:is>
          <x:t xml:space="preserve">Poids Sous-critère</x:t>
        </x:is>
      </x:c>
      <x:c r="J1" s="3" t="inlineStr">
        <x:is>
          <x:t xml:space="preserve">SousSousCritCode</x:t>
        </x:is>
      </x:c>
      <x:c r="K1" s="3" t="inlineStr">
        <x:is>
          <x:t xml:space="preserve">Sous-sous-critère</x:t>
        </x:is>
      </x:c>
      <x:c r="L1" s="3" t="inlineStr">
        <x:is>
          <x:t xml:space="preserve">Poids Sous-sous-critère</x:t>
        </x:is>
      </x:c>
      <x:c r="M1" s="3" t="inlineStr">
        <x:is>
          <x:t xml:space="preserve">Source documentaire indicative</x:t>
        </x:is>
      </x:c>
      <x:c r="N1" s="3" t="inlineStr">
        <x:is>
          <x:t xml:space="preserve">Évidence attendue</x:t>
        </x:is>
      </x:c>
      <x:c r="O1" s="3" t="inlineStr">
        <x:is>
          <x:t xml:space="preserve">Note /10</x:t>
        </x:is>
      </x:c>
      <x:c r="P1" s="3" t="inlineStr">
        <x:is>
          <x:t xml:space="preserve">Poids global</x:t>
        </x:is>
      </x:c>
      <x:c r="Q1" s="3" t="inlineStr">
        <x:is>
          <x:t xml:space="preserve">Score pondéré</x:t>
        </x:is>
      </x:c>
    </x:row>
    <x:row r="2">
      <x:c r="A2" s="4" t="inlineStr">
        <x:is>
          <x:t xml:space="preserve">D1</x:t>
        </x:is>
      </x:c>
      <x:c r="B2" s="4" t="inlineStr">
        <x:is>
          <x:t xml:space="preserve">Sponsor &amp; Governance</x:t>
        </x:is>
      </x:c>
      <x:c r="C2" s="5" t="n">
        <x:v>0.15</x:v>
      </x:c>
      <x:c r="D2" s="4" t="inlineStr">
        <x:is>
          <x:t xml:space="preserve">D1_C1</x:t>
        </x:is>
      </x:c>
      <x:c r="E2" s="4" t="inlineStr">
        <x:is>
          <x:t xml:space="preserve">Sponsor Strength &amp; Commitment</x:t>
        </x:is>
      </x:c>
      <x:c r="F2" s="5" t="n">
        <x:v>0.4</x:v>
      </x:c>
      <x:c r="G2" s="4" t="inlineStr">
        <x:is>
          <x:t xml:space="preserve">D1_SC1</x:t>
        </x:is>
      </x:c>
      <x:c r="H2" s="4" t="inlineStr">
        <x:is>
          <x:t xml:space="preserve">Shareholding &amp; support</x:t>
        </x:is>
      </x:c>
      <x:c r="I2" s="5" t="n">
        <x:v>0.35</x:v>
      </x:c>
      <x:c r="J2" s="4" t="inlineStr">
        <x:is>
          <x:t xml:space="preserve">D1_SS1</x:t>
        </x:is>
      </x:c>
      <x:c r="K2" s="4" t="inlineStr">
        <x:is>
          <x:t xml:space="preserve">Stabilité de l'actionnariat</x:t>
        </x:is>
      </x:c>
      <x:c r="L2" s="5" t="n">
        <x:v>0.4</x:v>
      </x:c>
      <x:c r="M2" s="4" t="inlineStr">
        <x:is>
          <x:t xml:space="preserve"/>
        </x:is>
      </x:c>
      <x:c r="N2" s="4" t="inlineStr">
        <x:is>
          <x:t xml:space="preserve"/>
        </x:is>
      </x:c>
      <x:c r="O2" s="6" t="n"/>
      <x:c r="P2" s="5">
        <x:f>C2*F2*I2*L2</x:f>
        <x:v>0.0084</x:v>
      </x:c>
      <x:c r="Q2" s="7">
        <x:f>IF(O2="","",O2/10*P2)</x:f>
      </x:c>
    </x:row>
    <x:row r="3">
      <x:c r="A3" s="4" t="inlineStr">
        <x:is>
          <x:t xml:space="preserve">D1</x:t>
        </x:is>
      </x:c>
      <x:c r="B3" s="4" t="inlineStr">
        <x:is>
          <x:t xml:space="preserve">Sponsor &amp; Governance</x:t>
        </x:is>
      </x:c>
      <x:c r="C3" s="5" t="n">
        <x:v>0.15</x:v>
      </x:c>
      <x:c r="D3" s="4" t="inlineStr">
        <x:is>
          <x:t xml:space="preserve">D1_C1</x:t>
        </x:is>
      </x:c>
      <x:c r="E3" s="4" t="inlineStr">
        <x:is>
          <x:t xml:space="preserve">Sponsor Strength &amp; Commitment</x:t>
        </x:is>
      </x:c>
      <x:c r="F3" s="5" t="n">
        <x:v>0.4</x:v>
      </x:c>
      <x:c r="G3" s="4" t="inlineStr">
        <x:is>
          <x:t xml:space="preserve">D1_SC1</x:t>
        </x:is>
      </x:c>
      <x:c r="H3" s="4" t="inlineStr">
        <x:is>
          <x:t xml:space="preserve">Shareholding &amp; support</x:t>
        </x:is>
      </x:c>
      <x:c r="I3" s="5" t="n">
        <x:v>0.35</x:v>
      </x:c>
      <x:c r="J3" s="4" t="inlineStr">
        <x:is>
          <x:t xml:space="preserve">D1_SS2</x:t>
        </x:is>
      </x:c>
      <x:c r="K3" s="4" t="inlineStr">
        <x:is>
          <x:t xml:space="preserve">Qualité du support explicite / implicite</x:t>
        </x:is>
      </x:c>
      <x:c r="L3" s="5" t="n">
        <x:v>0.35</x:v>
      </x:c>
      <x:c r="M3" s="4" t="inlineStr">
        <x:is>
          <x:t xml:space="preserve"/>
        </x:is>
      </x:c>
      <x:c r="N3" s="4" t="inlineStr">
        <x:is>
          <x:t xml:space="preserve"/>
        </x:is>
      </x:c>
      <x:c r="O3" s="6" t="n"/>
      <x:c r="P3" s="5">
        <x:f>C3*F3*I3*L3</x:f>
        <x:v>0.007349999999999999</x:v>
      </x:c>
      <x:c r="Q3" s="7">
        <x:f>IF(O3="","",O3/10*P3)</x:f>
      </x:c>
    </x:row>
    <x:row r="4">
      <x:c r="A4" s="4" t="inlineStr">
        <x:is>
          <x:t xml:space="preserve">D1</x:t>
        </x:is>
      </x:c>
      <x:c r="B4" s="4" t="inlineStr">
        <x:is>
          <x:t xml:space="preserve">Sponsor &amp; Governance</x:t>
        </x:is>
      </x:c>
      <x:c r="C4" s="5" t="n">
        <x:v>0.15</x:v>
      </x:c>
      <x:c r="D4" s="4" t="inlineStr">
        <x:is>
          <x:t xml:space="preserve">D1_C1</x:t>
        </x:is>
      </x:c>
      <x:c r="E4" s="4" t="inlineStr">
        <x:is>
          <x:t xml:space="preserve">Sponsor Strength &amp; Commitment</x:t>
        </x:is>
      </x:c>
      <x:c r="F4" s="5" t="n">
        <x:v>0.4</x:v>
      </x:c>
      <x:c r="G4" s="4" t="inlineStr">
        <x:is>
          <x:t xml:space="preserve">D1_SC1</x:t>
        </x:is>
      </x:c>
      <x:c r="H4" s="4" t="inlineStr">
        <x:is>
          <x:t xml:space="preserve">Shareholding &amp; support</x:t>
        </x:is>
      </x:c>
      <x:c r="I4" s="5" t="n">
        <x:v>0.35</x:v>
      </x:c>
      <x:c r="J4" s="4" t="inlineStr">
        <x:is>
          <x:t xml:space="preserve">D1_SS3</x:t>
        </x:is>
      </x:c>
      <x:c r="K4" s="4" t="inlineStr">
        <x:is>
          <x:t xml:space="preserve">Alignement d'intérêt / skin in the game</x:t>
        </x:is>
      </x:c>
      <x:c r="L4" s="5" t="n">
        <x:v>0.25</x:v>
      </x:c>
      <x:c r="M4" s="4" t="inlineStr">
        <x:is>
          <x:t xml:space="preserve"/>
        </x:is>
      </x:c>
      <x:c r="N4" s="4" t="inlineStr">
        <x:is>
          <x:t xml:space="preserve"/>
        </x:is>
      </x:c>
      <x:c r="O4" s="6" t="n"/>
      <x:c r="P4" s="5">
        <x:f>C4*F4*I4*L4</x:f>
        <x:v>0.0052499999999999995</x:v>
      </x:c>
      <x:c r="Q4" s="7">
        <x:f>IF(O4="","",O4/10*P4)</x:f>
      </x:c>
    </x:row>
    <x:row r="5">
      <x:c r="A5" s="4" t="inlineStr">
        <x:is>
          <x:t xml:space="preserve">D1</x:t>
        </x:is>
      </x:c>
      <x:c r="B5" s="4" t="inlineStr">
        <x:is>
          <x:t xml:space="preserve">Sponsor &amp; Governance</x:t>
        </x:is>
      </x:c>
      <x:c r="C5" s="5" t="n">
        <x:v>0.15</x:v>
      </x:c>
      <x:c r="D5" s="4" t="inlineStr">
        <x:is>
          <x:t xml:space="preserve">D1_C1</x:t>
        </x:is>
      </x:c>
      <x:c r="E5" s="4" t="inlineStr">
        <x:is>
          <x:t xml:space="preserve">Sponsor Strength &amp; Commitment</x:t>
        </x:is>
      </x:c>
      <x:c r="F5" s="5" t="n">
        <x:v>0.4</x:v>
      </x:c>
      <x:c r="G5" s="4" t="inlineStr">
        <x:is>
          <x:t xml:space="preserve">D1_SC2</x:t>
        </x:is>
      </x:c>
      <x:c r="H5" s="4" t="inlineStr">
        <x:is>
          <x:t xml:space="preserve">Financial capacity</x:t>
        </x:is>
      </x:c>
      <x:c r="I5" s="5" t="n">
        <x:v>0.35</x:v>
      </x:c>
      <x:c r="J5" s="4" t="inlineStr">
        <x:is>
          <x:t xml:space="preserve">D1_SS4</x:t>
        </x:is>
      </x:c>
      <x:c r="K5" s="4" t="inlineStr">
        <x:is>
          <x:t xml:space="preserve">Capacité d'apport en fonds propres</x:t>
        </x:is>
      </x:c>
      <x:c r="L5" s="5" t="n">
        <x:v>0.4</x:v>
      </x:c>
      <x:c r="M5" s="4" t="inlineStr">
        <x:is>
          <x:t xml:space="preserve"/>
        </x:is>
      </x:c>
      <x:c r="N5" s="4" t="inlineStr">
        <x:is>
          <x:t xml:space="preserve"/>
        </x:is>
      </x:c>
      <x:c r="O5" s="6" t="n"/>
      <x:c r="P5" s="5">
        <x:f>C5*F5*I5*L5</x:f>
        <x:v>0.0084</x:v>
      </x:c>
      <x:c r="Q5" s="7">
        <x:f>IF(O5="","",O5/10*P5)</x:f>
      </x:c>
    </x:row>
    <x:row r="6">
      <x:c r="A6" s="4" t="inlineStr">
        <x:is>
          <x:t xml:space="preserve">D1</x:t>
        </x:is>
      </x:c>
      <x:c r="B6" s="4" t="inlineStr">
        <x:is>
          <x:t xml:space="preserve">Sponsor &amp; Governance</x:t>
        </x:is>
      </x:c>
      <x:c r="C6" s="5" t="n">
        <x:v>0.15</x:v>
      </x:c>
      <x:c r="D6" s="4" t="inlineStr">
        <x:is>
          <x:t xml:space="preserve">D1_C1</x:t>
        </x:is>
      </x:c>
      <x:c r="E6" s="4" t="inlineStr">
        <x:is>
          <x:t xml:space="preserve">Sponsor Strength &amp; Commitment</x:t>
        </x:is>
      </x:c>
      <x:c r="F6" s="5" t="n">
        <x:v>0.4</x:v>
      </x:c>
      <x:c r="G6" s="4" t="inlineStr">
        <x:is>
          <x:t xml:space="preserve">D1_SC2</x:t>
        </x:is>
      </x:c>
      <x:c r="H6" s="4" t="inlineStr">
        <x:is>
          <x:t xml:space="preserve">Financial capacity</x:t>
        </x:is>
      </x:c>
      <x:c r="I6" s="5" t="n">
        <x:v>0.35</x:v>
      </x:c>
      <x:c r="J6" s="4" t="inlineStr">
        <x:is>
          <x:t xml:space="preserve">D1_SS5</x:t>
        </x:is>
      </x:c>
      <x:c r="K6" s="4" t="inlineStr">
        <x:is>
          <x:t xml:space="preserve">Capacité de soutien en cas de stress</x:t>
        </x:is>
      </x:c>
      <x:c r="L6" s="5" t="n">
        <x:v>0.35</x:v>
      </x:c>
      <x:c r="M6" s="4" t="inlineStr">
        <x:is>
          <x:t xml:space="preserve"/>
        </x:is>
      </x:c>
      <x:c r="N6" s="4" t="inlineStr">
        <x:is>
          <x:t xml:space="preserve"/>
        </x:is>
      </x:c>
      <x:c r="O6" s="6" t="n"/>
      <x:c r="P6" s="5">
        <x:f>C6*F6*I6*L6</x:f>
        <x:v>0.007349999999999999</x:v>
      </x:c>
      <x:c r="Q6" s="7">
        <x:f>IF(O6="","",O6/10*P6)</x:f>
      </x:c>
    </x:row>
    <x:row r="7">
      <x:c r="A7" s="4" t="inlineStr">
        <x:is>
          <x:t xml:space="preserve">D1</x:t>
        </x:is>
      </x:c>
      <x:c r="B7" s="4" t="inlineStr">
        <x:is>
          <x:t xml:space="preserve">Sponsor &amp; Governance</x:t>
        </x:is>
      </x:c>
      <x:c r="C7" s="5" t="n">
        <x:v>0.15</x:v>
      </x:c>
      <x:c r="D7" s="4" t="inlineStr">
        <x:is>
          <x:t xml:space="preserve">D1_C1</x:t>
        </x:is>
      </x:c>
      <x:c r="E7" s="4" t="inlineStr">
        <x:is>
          <x:t xml:space="preserve">Sponsor Strength &amp; Commitment</x:t>
        </x:is>
      </x:c>
      <x:c r="F7" s="5" t="n">
        <x:v>0.4</x:v>
      </x:c>
      <x:c r="G7" s="4" t="inlineStr">
        <x:is>
          <x:t xml:space="preserve">D1_SC2</x:t>
        </x:is>
      </x:c>
      <x:c r="H7" s="4" t="inlineStr">
        <x:is>
          <x:t xml:space="preserve">Financial capacity</x:t>
        </x:is>
      </x:c>
      <x:c r="I7" s="5" t="n">
        <x:v>0.35</x:v>
      </x:c>
      <x:c r="J7" s="4" t="inlineStr">
        <x:is>
          <x:t xml:space="preserve">D1_SS6</x:t>
        </x:is>
      </x:c>
      <x:c r="K7" s="4" t="inlineStr">
        <x:is>
          <x:t xml:space="preserve">Flexibilité bilancielle / liquidité</x:t>
        </x:is>
      </x:c>
      <x:c r="L7" s="5" t="n">
        <x:v>0.25</x:v>
      </x:c>
      <x:c r="M7" s="4" t="inlineStr">
        <x:is>
          <x:t xml:space="preserve"/>
        </x:is>
      </x:c>
      <x:c r="N7" s="4" t="inlineStr">
        <x:is>
          <x:t xml:space="preserve"/>
        </x:is>
      </x:c>
      <x:c r="O7" s="6" t="n"/>
      <x:c r="P7" s="5">
        <x:f>C7*F7*I7*L7</x:f>
        <x:v>0.0052499999999999995</x:v>
      </x:c>
      <x:c r="Q7" s="7">
        <x:f>IF(O7="","",O7/10*P7)</x:f>
      </x:c>
    </x:row>
    <x:row r="8">
      <x:c r="A8" s="4" t="inlineStr">
        <x:is>
          <x:t xml:space="preserve">D1</x:t>
        </x:is>
      </x:c>
      <x:c r="B8" s="4" t="inlineStr">
        <x:is>
          <x:t xml:space="preserve">Sponsor &amp; Governance</x:t>
        </x:is>
      </x:c>
      <x:c r="C8" s="5" t="n">
        <x:v>0.15</x:v>
      </x:c>
      <x:c r="D8" s="4" t="inlineStr">
        <x:is>
          <x:t xml:space="preserve">D1_C1</x:t>
        </x:is>
      </x:c>
      <x:c r="E8" s="4" t="inlineStr">
        <x:is>
          <x:t xml:space="preserve">Sponsor Strength &amp; Commitment</x:t>
        </x:is>
      </x:c>
      <x:c r="F8" s="5" t="n">
        <x:v>0.4</x:v>
      </x:c>
      <x:c r="G8" s="4" t="inlineStr">
        <x:is>
          <x:t xml:space="preserve">D1_SC3</x:t>
        </x:is>
      </x:c>
      <x:c r="H8" s="4" t="inlineStr">
        <x:is>
          <x:t xml:space="preserve">Commitment</x:t>
        </x:is>
      </x:c>
      <x:c r="I8" s="5" t="n">
        <x:v>0.3</x:v>
      </x:c>
      <x:c r="J8" s="4" t="inlineStr">
        <x:is>
          <x:t xml:space="preserve">D1_SS7</x:t>
        </x:is>
      </x:c>
      <x:c r="K8" s="4" t="inlineStr">
        <x:is>
          <x:t xml:space="preserve">Montant equity at risk</x:t>
        </x:is>
      </x:c>
      <x:c r="L8" s="5" t="n">
        <x:v>0.4</x:v>
      </x:c>
      <x:c r="M8" s="4" t="inlineStr">
        <x:is>
          <x:t xml:space="preserve"/>
        </x:is>
      </x:c>
      <x:c r="N8" s="4" t="inlineStr">
        <x:is>
          <x:t xml:space="preserve"/>
        </x:is>
      </x:c>
      <x:c r="O8" s="6" t="n"/>
      <x:c r="P8" s="5">
        <x:f>C8*F8*I8*L8</x:f>
        <x:v>0.0072</x:v>
      </x:c>
      <x:c r="Q8" s="7">
        <x:f>IF(O8="","",O8/10*P8)</x:f>
      </x:c>
    </x:row>
    <x:row r="9">
      <x:c r="A9" s="4" t="inlineStr">
        <x:is>
          <x:t xml:space="preserve">D1</x:t>
        </x:is>
      </x:c>
      <x:c r="B9" s="4" t="inlineStr">
        <x:is>
          <x:t xml:space="preserve">Sponsor &amp; Governance</x:t>
        </x:is>
      </x:c>
      <x:c r="C9" s="5" t="n">
        <x:v>0.15</x:v>
      </x:c>
      <x:c r="D9" s="4" t="inlineStr">
        <x:is>
          <x:t xml:space="preserve">D1_C1</x:t>
        </x:is>
      </x:c>
      <x:c r="E9" s="4" t="inlineStr">
        <x:is>
          <x:t xml:space="preserve">Sponsor Strength &amp; Commitment</x:t>
        </x:is>
      </x:c>
      <x:c r="F9" s="5" t="n">
        <x:v>0.4</x:v>
      </x:c>
      <x:c r="G9" s="4" t="inlineStr">
        <x:is>
          <x:t xml:space="preserve">D1_SC3</x:t>
        </x:is>
      </x:c>
      <x:c r="H9" s="4" t="inlineStr">
        <x:is>
          <x:t xml:space="preserve">Commitment</x:t>
        </x:is>
      </x:c>
      <x:c r="I9" s="5" t="n">
        <x:v>0.3</x:v>
      </x:c>
      <x:c r="J9" s="4" t="inlineStr">
        <x:is>
          <x:t xml:space="preserve">D1_SS8</x:t>
        </x:is>
      </x:c>
      <x:c r="K9" s="4" t="inlineStr">
        <x:is>
          <x:t xml:space="preserve">Subordination / blocage distributions</x:t>
        </x:is>
      </x:c>
      <x:c r="L9" s="5" t="n">
        <x:v>0.3</x:v>
      </x:c>
      <x:c r="M9" s="4" t="inlineStr">
        <x:is>
          <x:t xml:space="preserve"/>
        </x:is>
      </x:c>
      <x:c r="N9" s="4" t="inlineStr">
        <x:is>
          <x:t xml:space="preserve"/>
        </x:is>
      </x:c>
      <x:c r="O9" s="6" t="n"/>
      <x:c r="P9" s="5">
        <x:f>C9*F9*I9*L9</x:f>
        <x:v>0.005399999999999999</x:v>
      </x:c>
      <x:c r="Q9" s="7">
        <x:f>IF(O9="","",O9/10*P9)</x:f>
      </x:c>
    </x:row>
    <x:row r="10">
      <x:c r="A10" s="4" t="inlineStr">
        <x:is>
          <x:t xml:space="preserve">D1</x:t>
        </x:is>
      </x:c>
      <x:c r="B10" s="4" t="inlineStr">
        <x:is>
          <x:t xml:space="preserve">Sponsor &amp; Governance</x:t>
        </x:is>
      </x:c>
      <x:c r="C10" s="5" t="n">
        <x:v>0.15</x:v>
      </x:c>
      <x:c r="D10" s="4" t="inlineStr">
        <x:is>
          <x:t xml:space="preserve">D1_C1</x:t>
        </x:is>
      </x:c>
      <x:c r="E10" s="4" t="inlineStr">
        <x:is>
          <x:t xml:space="preserve">Sponsor Strength &amp; Commitment</x:t>
        </x:is>
      </x:c>
      <x:c r="F10" s="5" t="n">
        <x:v>0.4</x:v>
      </x:c>
      <x:c r="G10" s="4" t="inlineStr">
        <x:is>
          <x:t xml:space="preserve">D1_SC3</x:t>
        </x:is>
      </x:c>
      <x:c r="H10" s="4" t="inlineStr">
        <x:is>
          <x:t xml:space="preserve">Commitment</x:t>
        </x:is>
      </x:c>
      <x:c r="I10" s="5" t="n">
        <x:v>0.3</x:v>
      </x:c>
      <x:c r="J10" s="4" t="inlineStr">
        <x:is>
          <x:t xml:space="preserve">D1_SS9</x:t>
        </x:is>
      </x:c>
      <x:c r="K10" s="4" t="inlineStr">
        <x:is>
          <x:t xml:space="preserve">Historique de soutien aux projets</x:t>
        </x:is>
      </x:c>
      <x:c r="L10" s="5" t="n">
        <x:v>0.3</x:v>
      </x:c>
      <x:c r="M10" s="4" t="inlineStr">
        <x:is>
          <x:t xml:space="preserve"/>
        </x:is>
      </x:c>
      <x:c r="N10" s="4" t="inlineStr">
        <x:is>
          <x:t xml:space="preserve"/>
        </x:is>
      </x:c>
      <x:c r="O10" s="6" t="n"/>
      <x:c r="P10" s="5">
        <x:f>C10*F10*I10*L10</x:f>
        <x:v>0.005399999999999999</x:v>
      </x:c>
      <x:c r="Q10" s="7">
        <x:f>IF(O10="","",O10/10*P10)</x:f>
      </x:c>
    </x:row>
    <x:row r="11">
      <x:c r="A11" s="4" t="inlineStr">
        <x:is>
          <x:t xml:space="preserve">D1</x:t>
        </x:is>
      </x:c>
      <x:c r="B11" s="4" t="inlineStr">
        <x:is>
          <x:t xml:space="preserve">Sponsor &amp; Governance</x:t>
        </x:is>
      </x:c>
      <x:c r="C11" s="5" t="n">
        <x:v>0.15</x:v>
      </x:c>
      <x:c r="D11" s="4" t="inlineStr">
        <x:is>
          <x:t xml:space="preserve">D1_C2</x:t>
        </x:is>
      </x:c>
      <x:c r="E11" s="4" t="inlineStr">
        <x:is>
          <x:t xml:space="preserve">Track Record</x:t>
        </x:is>
      </x:c>
      <x:c r="F11" s="5" t="n">
        <x:v>0.35</x:v>
      </x:c>
      <x:c r="G11" s="4" t="inlineStr">
        <x:is>
          <x:t xml:space="preserve">D1_SC4</x:t>
        </x:is>
      </x:c>
      <x:c r="H11" s="4" t="inlineStr">
        <x:is>
          <x:t xml:space="preserve">Project development experience</x:t>
        </x:is>
      </x:c>
      <x:c r="I11" s="5" t="n">
        <x:v>0.55</x:v>
      </x:c>
      <x:c r="J11" s="4" t="inlineStr">
        <x:is>
          <x:t xml:space="preserve">D1_SS10</x:t>
        </x:is>
      </x:c>
      <x:c r="K11" s="4" t="inlineStr">
        <x:is>
          <x:t xml:space="preserve">Nombre de projets similaires</x:t>
        </x:is>
      </x:c>
      <x:c r="L11" s="5" t="n">
        <x:v>0.35</x:v>
      </x:c>
      <x:c r="M11" s="4" t="inlineStr">
        <x:is>
          <x:t xml:space="preserve"/>
        </x:is>
      </x:c>
      <x:c r="N11" s="4" t="inlineStr">
        <x:is>
          <x:t xml:space="preserve"/>
        </x:is>
      </x:c>
      <x:c r="O11" s="6" t="n"/>
      <x:c r="P11" s="5">
        <x:f>C11*F11*I11*L11</x:f>
        <x:v>0.01010625</x:v>
      </x:c>
      <x:c r="Q11" s="7">
        <x:f>IF(O11="","",O11/10*P11)</x:f>
      </x:c>
    </x:row>
    <x:row r="12">
      <x:c r="A12" s="4" t="inlineStr">
        <x:is>
          <x:t xml:space="preserve">D1</x:t>
        </x:is>
      </x:c>
      <x:c r="B12" s="4" t="inlineStr">
        <x:is>
          <x:t xml:space="preserve">Sponsor &amp; Governance</x:t>
        </x:is>
      </x:c>
      <x:c r="C12" s="5" t="n">
        <x:v>0.15</x:v>
      </x:c>
      <x:c r="D12" s="4" t="inlineStr">
        <x:is>
          <x:t xml:space="preserve">D1_C2</x:t>
        </x:is>
      </x:c>
      <x:c r="E12" s="4" t="inlineStr">
        <x:is>
          <x:t xml:space="preserve">Track Record</x:t>
        </x:is>
      </x:c>
      <x:c r="F12" s="5" t="n">
        <x:v>0.35</x:v>
      </x:c>
      <x:c r="G12" s="4" t="inlineStr">
        <x:is>
          <x:t xml:space="preserve">D1_SC4</x:t>
        </x:is>
      </x:c>
      <x:c r="H12" s="4" t="inlineStr">
        <x:is>
          <x:t xml:space="preserve">Project development experience</x:t>
        </x:is>
      </x:c>
      <x:c r="I12" s="5" t="n">
        <x:v>0.55</x:v>
      </x:c>
      <x:c r="J12" s="4" t="inlineStr">
        <x:is>
          <x:t xml:space="preserve">D1_SS11</x:t>
        </x:is>
      </x:c>
      <x:c r="K12" s="4" t="inlineStr">
        <x:is>
          <x:t xml:space="preserve">Succès de mise en service</x:t>
        </x:is>
      </x:c>
      <x:c r="L12" s="5" t="n">
        <x:v>0.35</x:v>
      </x:c>
      <x:c r="M12" s="4" t="inlineStr">
        <x:is>
          <x:t xml:space="preserve"/>
        </x:is>
      </x:c>
      <x:c r="N12" s="4" t="inlineStr">
        <x:is>
          <x:t xml:space="preserve"/>
        </x:is>
      </x:c>
      <x:c r="O12" s="6" t="n"/>
      <x:c r="P12" s="5">
        <x:f>C12*F12*I12*L12</x:f>
        <x:v>0.01010625</x:v>
      </x:c>
      <x:c r="Q12" s="7">
        <x:f>IF(O12="","",O12/10*P12)</x:f>
      </x:c>
    </x:row>
    <x:row r="13">
      <x:c r="A13" s="4" t="inlineStr">
        <x:is>
          <x:t xml:space="preserve">D1</x:t>
        </x:is>
      </x:c>
      <x:c r="B13" s="4" t="inlineStr">
        <x:is>
          <x:t xml:space="preserve">Sponsor &amp; Governance</x:t>
        </x:is>
      </x:c>
      <x:c r="C13" s="5" t="n">
        <x:v>0.15</x:v>
      </x:c>
      <x:c r="D13" s="4" t="inlineStr">
        <x:is>
          <x:t xml:space="preserve">D1_C2</x:t>
        </x:is>
      </x:c>
      <x:c r="E13" s="4" t="inlineStr">
        <x:is>
          <x:t xml:space="preserve">Track Record</x:t>
        </x:is>
      </x:c>
      <x:c r="F13" s="5" t="n">
        <x:v>0.35</x:v>
      </x:c>
      <x:c r="G13" s="4" t="inlineStr">
        <x:is>
          <x:t xml:space="preserve">D1_SC4</x:t>
        </x:is>
      </x:c>
      <x:c r="H13" s="4" t="inlineStr">
        <x:is>
          <x:t xml:space="preserve">Project development experience</x:t>
        </x:is>
      </x:c>
      <x:c r="I13" s="5" t="n">
        <x:v>0.55</x:v>
      </x:c>
      <x:c r="J13" s="4" t="inlineStr">
        <x:is>
          <x:t xml:space="preserve">D1_SS12</x:t>
        </x:is>
      </x:c>
      <x:c r="K13" s="4" t="inlineStr">
        <x:is>
          <x:t xml:space="preserve">Historique coût/délai</x:t>
        </x:is>
      </x:c>
      <x:c r="L13" s="5" t="n">
        <x:v>0.3</x:v>
      </x:c>
      <x:c r="M13" s="4" t="inlineStr">
        <x:is>
          <x:t xml:space="preserve"/>
        </x:is>
      </x:c>
      <x:c r="N13" s="4" t="inlineStr">
        <x:is>
          <x:t xml:space="preserve"/>
        </x:is>
      </x:c>
      <x:c r="O13" s="6" t="n"/>
      <x:c r="P13" s="5">
        <x:f>C13*F13*I13*L13</x:f>
        <x:v>0.0086625</x:v>
      </x:c>
      <x:c r="Q13" s="7">
        <x:f>IF(O13="","",O13/10*P13)</x:f>
      </x:c>
    </x:row>
    <x:row r="14">
      <x:c r="A14" s="4" t="inlineStr">
        <x:is>
          <x:t xml:space="preserve">D1</x:t>
        </x:is>
      </x:c>
      <x:c r="B14" s="4" t="inlineStr">
        <x:is>
          <x:t xml:space="preserve">Sponsor &amp; Governance</x:t>
        </x:is>
      </x:c>
      <x:c r="C14" s="5" t="n">
        <x:v>0.15</x:v>
      </x:c>
      <x:c r="D14" s="4" t="inlineStr">
        <x:is>
          <x:t xml:space="preserve">D1_C2</x:t>
        </x:is>
      </x:c>
      <x:c r="E14" s="4" t="inlineStr">
        <x:is>
          <x:t xml:space="preserve">Track Record</x:t>
        </x:is>
      </x:c>
      <x:c r="F14" s="5" t="n">
        <x:v>0.35</x:v>
      </x:c>
      <x:c r="G14" s="4" t="inlineStr">
        <x:is>
          <x:t xml:space="preserve">D1_SC5</x:t>
        </x:is>
      </x:c>
      <x:c r="H14" s="4" t="inlineStr">
        <x:is>
          <x:t xml:space="preserve">Operational track record</x:t>
        </x:is>
      </x:c>
      <x:c r="I14" s="5" t="n">
        <x:v>0.45</x:v>
      </x:c>
      <x:c r="J14" s="4" t="inlineStr">
        <x:is>
          <x:t xml:space="preserve">D1_SS13</x:t>
        </x:is>
      </x:c>
      <x:c r="K14" s="4" t="inlineStr">
        <x:is>
          <x:t xml:space="preserve">Performance opérationnelle historique</x:t>
        </x:is>
      </x:c>
      <x:c r="L14" s="5" t="n">
        <x:v>0.4</x:v>
      </x:c>
      <x:c r="M14" s="4" t="inlineStr">
        <x:is>
          <x:t xml:space="preserve"/>
        </x:is>
      </x:c>
      <x:c r="N14" s="4" t="inlineStr">
        <x:is>
          <x:t xml:space="preserve"/>
        </x:is>
      </x:c>
      <x:c r="O14" s="6" t="n"/>
      <x:c r="P14" s="5">
        <x:f>C14*F14*I14*L14</x:f>
        <x:v>0.00945</x:v>
      </x:c>
      <x:c r="Q14" s="7">
        <x:f>IF(O14="","",O14/10*P14)</x:f>
      </x:c>
    </x:row>
    <x:row r="15">
      <x:c r="A15" s="4" t="inlineStr">
        <x:is>
          <x:t xml:space="preserve">D1</x:t>
        </x:is>
      </x:c>
      <x:c r="B15" s="4" t="inlineStr">
        <x:is>
          <x:t xml:space="preserve">Sponsor &amp; Governance</x:t>
        </x:is>
      </x:c>
      <x:c r="C15" s="5" t="n">
        <x:v>0.15</x:v>
      </x:c>
      <x:c r="D15" s="4" t="inlineStr">
        <x:is>
          <x:t xml:space="preserve">D1_C2</x:t>
        </x:is>
      </x:c>
      <x:c r="E15" s="4" t="inlineStr">
        <x:is>
          <x:t xml:space="preserve">Track Record</x:t>
        </x:is>
      </x:c>
      <x:c r="F15" s="5" t="n">
        <x:v>0.35</x:v>
      </x:c>
      <x:c r="G15" s="4" t="inlineStr">
        <x:is>
          <x:t xml:space="preserve">D1_SC5</x:t>
        </x:is>
      </x:c>
      <x:c r="H15" s="4" t="inlineStr">
        <x:is>
          <x:t xml:space="preserve">Operational track record</x:t>
        </x:is>
      </x:c>
      <x:c r="I15" s="5" t="n">
        <x:v>0.45</x:v>
      </x:c>
      <x:c r="J15" s="4" t="inlineStr">
        <x:is>
          <x:t xml:space="preserve">D1_SS14</x:t>
        </x:is>
      </x:c>
      <x:c r="K15" s="4" t="inlineStr">
        <x:is>
          <x:t xml:space="preserve">Gestion incidents / restructurations</x:t>
        </x:is>
      </x:c>
      <x:c r="L15" s="5" t="n">
        <x:v>0.3</x:v>
      </x:c>
      <x:c r="M15" s="4" t="inlineStr">
        <x:is>
          <x:t xml:space="preserve"/>
        </x:is>
      </x:c>
      <x:c r="N15" s="4" t="inlineStr">
        <x:is>
          <x:t xml:space="preserve"/>
        </x:is>
      </x:c>
      <x:c r="O15" s="6" t="n"/>
      <x:c r="P15" s="5">
        <x:f>C15*F15*I15*L15</x:f>
        <x:v>0.0070875</x:v>
      </x:c>
      <x:c r="Q15" s="7">
        <x:f>IF(O15="","",O15/10*P15)</x:f>
      </x:c>
    </x:row>
    <x:row r="16">
      <x:c r="A16" s="4" t="inlineStr">
        <x:is>
          <x:t xml:space="preserve">D1</x:t>
        </x:is>
      </x:c>
      <x:c r="B16" s="4" t="inlineStr">
        <x:is>
          <x:t xml:space="preserve">Sponsor &amp; Governance</x:t>
        </x:is>
      </x:c>
      <x:c r="C16" s="5" t="n">
        <x:v>0.15</x:v>
      </x:c>
      <x:c r="D16" s="4" t="inlineStr">
        <x:is>
          <x:t xml:space="preserve">D1_C2</x:t>
        </x:is>
      </x:c>
      <x:c r="E16" s="4" t="inlineStr">
        <x:is>
          <x:t xml:space="preserve">Track Record</x:t>
        </x:is>
      </x:c>
      <x:c r="F16" s="5" t="n">
        <x:v>0.35</x:v>
      </x:c>
      <x:c r="G16" s="4" t="inlineStr">
        <x:is>
          <x:t xml:space="preserve">D1_SC5</x:t>
        </x:is>
      </x:c>
      <x:c r="H16" s="4" t="inlineStr">
        <x:is>
          <x:t xml:space="preserve">Operational track record</x:t>
        </x:is>
      </x:c>
      <x:c r="I16" s="5" t="n">
        <x:v>0.45</x:v>
      </x:c>
      <x:c r="J16" s="4" t="inlineStr">
        <x:is>
          <x:t xml:space="preserve">D1_SS15</x:t>
        </x:is>
      </x:c>
      <x:c r="K16" s="4" t="inlineStr">
        <x:is>
          <x:t xml:space="preserve">Réputation sectorielle</x:t>
        </x:is>
      </x:c>
      <x:c r="L16" s="5" t="n">
        <x:v>0.3</x:v>
      </x:c>
      <x:c r="M16" s="4" t="inlineStr">
        <x:is>
          <x:t xml:space="preserve"/>
        </x:is>
      </x:c>
      <x:c r="N16" s="4" t="inlineStr">
        <x:is>
          <x:t xml:space="preserve"/>
        </x:is>
      </x:c>
      <x:c r="O16" s="6" t="n"/>
      <x:c r="P16" s="5">
        <x:f>C16*F16*I16*L16</x:f>
        <x:v>0.0070875</x:v>
      </x:c>
      <x:c r="Q16" s="7">
        <x:f>IF(O16="","",O16/10*P16)</x:f>
      </x:c>
    </x:row>
    <x:row r="17">
      <x:c r="A17" s="4" t="inlineStr">
        <x:is>
          <x:t xml:space="preserve">D1</x:t>
        </x:is>
      </x:c>
      <x:c r="B17" s="4" t="inlineStr">
        <x:is>
          <x:t xml:space="preserve">Sponsor &amp; Governance</x:t>
        </x:is>
      </x:c>
      <x:c r="C17" s="5" t="n">
        <x:v>0.15</x:v>
      </x:c>
      <x:c r="D17" s="4" t="inlineStr">
        <x:is>
          <x:t xml:space="preserve">D1_C3</x:t>
        </x:is>
      </x:c>
      <x:c r="E17" s="4" t="inlineStr">
        <x:is>
          <x:t xml:space="preserve">Governance &amp; Transparency</x:t>
        </x:is>
      </x:c>
      <x:c r="F17" s="5" t="n">
        <x:v>0.25</x:v>
      </x:c>
      <x:c r="G17" s="4" t="inlineStr">
        <x:is>
          <x:t xml:space="preserve">D1_SC6</x:t>
        </x:is>
      </x:c>
      <x:c r="H17" s="4" t="inlineStr">
        <x:is>
          <x:t xml:space="preserve">Governance framework</x:t>
        </x:is>
      </x:c>
      <x:c r="I17" s="5" t="n">
        <x:v>0.5</x:v>
      </x:c>
      <x:c r="J17" s="4" t="inlineStr">
        <x:is>
          <x:t xml:space="preserve">D1_SS16</x:t>
        </x:is>
      </x:c>
      <x:c r="K17" s="4" t="inlineStr">
        <x:is>
          <x:t xml:space="preserve">Clarté gouvernance projet/SPV</x:t>
        </x:is>
      </x:c>
      <x:c r="L17" s="5" t="n">
        <x:v>0.4</x:v>
      </x:c>
      <x:c r="M17" s="4" t="inlineStr">
        <x:is>
          <x:t xml:space="preserve"/>
        </x:is>
      </x:c>
      <x:c r="N17" s="4" t="inlineStr">
        <x:is>
          <x:t xml:space="preserve"/>
        </x:is>
      </x:c>
      <x:c r="O17" s="6" t="n"/>
      <x:c r="P17" s="5">
        <x:f>C17*F17*I17*L17</x:f>
        <x:v>0.0075</x:v>
      </x:c>
      <x:c r="Q17" s="7">
        <x:f>IF(O17="","",O17/10*P17)</x:f>
      </x:c>
    </x:row>
    <x:row r="18">
      <x:c r="A18" s="4" t="inlineStr">
        <x:is>
          <x:t xml:space="preserve">D1</x:t>
        </x:is>
      </x:c>
      <x:c r="B18" s="4" t="inlineStr">
        <x:is>
          <x:t xml:space="preserve">Sponsor &amp; Governance</x:t>
        </x:is>
      </x:c>
      <x:c r="C18" s="5" t="n">
        <x:v>0.15</x:v>
      </x:c>
      <x:c r="D18" s="4" t="inlineStr">
        <x:is>
          <x:t xml:space="preserve">D1_C3</x:t>
        </x:is>
      </x:c>
      <x:c r="E18" s="4" t="inlineStr">
        <x:is>
          <x:t xml:space="preserve">Governance &amp; Transparency</x:t>
        </x:is>
      </x:c>
      <x:c r="F18" s="5" t="n">
        <x:v>0.25</x:v>
      </x:c>
      <x:c r="G18" s="4" t="inlineStr">
        <x:is>
          <x:t xml:space="preserve">D1_SC6</x:t>
        </x:is>
      </x:c>
      <x:c r="H18" s="4" t="inlineStr">
        <x:is>
          <x:t xml:space="preserve">Governance framework</x:t>
        </x:is>
      </x:c>
      <x:c r="I18" s="5" t="n">
        <x:v>0.5</x:v>
      </x:c>
      <x:c r="J18" s="4" t="inlineStr">
        <x:is>
          <x:t xml:space="preserve">D1_SS17</x:t>
        </x:is>
      </x:c>
      <x:c r="K18" s="4" t="inlineStr">
        <x:is>
          <x:t xml:space="preserve">Comités / délégations / pouvoirs</x:t>
        </x:is>
      </x:c>
      <x:c r="L18" s="5" t="n">
        <x:v>0.3</x:v>
      </x:c>
      <x:c r="M18" s="4" t="inlineStr">
        <x:is>
          <x:t xml:space="preserve"/>
        </x:is>
      </x:c>
      <x:c r="N18" s="4" t="inlineStr">
        <x:is>
          <x:t xml:space="preserve"/>
        </x:is>
      </x:c>
      <x:c r="O18" s="6" t="n"/>
      <x:c r="P18" s="5">
        <x:f>C18*F18*I18*L18</x:f>
        <x:v>0.005625</x:v>
      </x:c>
      <x:c r="Q18" s="7">
        <x:f>IF(O18="","",O18/10*P18)</x:f>
      </x:c>
    </x:row>
    <x:row r="19">
      <x:c r="A19" s="4" t="inlineStr">
        <x:is>
          <x:t xml:space="preserve">D1</x:t>
        </x:is>
      </x:c>
      <x:c r="B19" s="4" t="inlineStr">
        <x:is>
          <x:t xml:space="preserve">Sponsor &amp; Governance</x:t>
        </x:is>
      </x:c>
      <x:c r="C19" s="5" t="n">
        <x:v>0.15</x:v>
      </x:c>
      <x:c r="D19" s="4" t="inlineStr">
        <x:is>
          <x:t xml:space="preserve">D1_C3</x:t>
        </x:is>
      </x:c>
      <x:c r="E19" s="4" t="inlineStr">
        <x:is>
          <x:t xml:space="preserve">Governance &amp; Transparency</x:t>
        </x:is>
      </x:c>
      <x:c r="F19" s="5" t="n">
        <x:v>0.25</x:v>
      </x:c>
      <x:c r="G19" s="4" t="inlineStr">
        <x:is>
          <x:t xml:space="preserve">D1_SC6</x:t>
        </x:is>
      </x:c>
      <x:c r="H19" s="4" t="inlineStr">
        <x:is>
          <x:t xml:space="preserve">Governance framework</x:t>
        </x:is>
      </x:c>
      <x:c r="I19" s="5" t="n">
        <x:v>0.5</x:v>
      </x:c>
      <x:c r="J19" s="4" t="inlineStr">
        <x:is>
          <x:t xml:space="preserve">D1_SS18</x:t>
        </x:is>
      </x:c>
      <x:c r="K19" s="4" t="inlineStr">
        <x:is>
          <x:t xml:space="preserve">Gestion conflits d'intérêts</x:t>
        </x:is>
      </x:c>
      <x:c r="L19" s="5" t="n">
        <x:v>0.3</x:v>
      </x:c>
      <x:c r="M19" s="4" t="inlineStr">
        <x:is>
          <x:t xml:space="preserve"/>
        </x:is>
      </x:c>
      <x:c r="N19" s="4" t="inlineStr">
        <x:is>
          <x:t xml:space="preserve"/>
        </x:is>
      </x:c>
      <x:c r="O19" s="6" t="n"/>
      <x:c r="P19" s="5">
        <x:f>C19*F19*I19*L19</x:f>
        <x:v>0.005625</x:v>
      </x:c>
      <x:c r="Q19" s="7">
        <x:f>IF(O19="","",O19/10*P19)</x:f>
      </x:c>
    </x:row>
    <x:row r="20">
      <x:c r="A20" s="4" t="inlineStr">
        <x:is>
          <x:t xml:space="preserve">D1</x:t>
        </x:is>
      </x:c>
      <x:c r="B20" s="4" t="inlineStr">
        <x:is>
          <x:t xml:space="preserve">Sponsor &amp; Governance</x:t>
        </x:is>
      </x:c>
      <x:c r="C20" s="5" t="n">
        <x:v>0.15</x:v>
      </x:c>
      <x:c r="D20" s="4" t="inlineStr">
        <x:is>
          <x:t xml:space="preserve">D1_C3</x:t>
        </x:is>
      </x:c>
      <x:c r="E20" s="4" t="inlineStr">
        <x:is>
          <x:t xml:space="preserve">Governance &amp; Transparency</x:t>
        </x:is>
      </x:c>
      <x:c r="F20" s="5" t="n">
        <x:v>0.25</x:v>
      </x:c>
      <x:c r="G20" s="4" t="inlineStr">
        <x:is>
          <x:t xml:space="preserve">D1_SC7</x:t>
        </x:is>
      </x:c>
      <x:c r="H20" s="4" t="inlineStr">
        <x:is>
          <x:t xml:space="preserve">Transparency &amp; reporting</x:t>
        </x:is>
      </x:c>
      <x:c r="I20" s="5" t="n">
        <x:v>0.5</x:v>
      </x:c>
      <x:c r="J20" s="4" t="inlineStr">
        <x:is>
          <x:t xml:space="preserve">D1_SS19</x:t>
        </x:is>
      </x:c>
      <x:c r="K20" s="4" t="inlineStr">
        <x:is>
          <x:t xml:space="preserve">Qualité du reporting</x:t>
        </x:is>
      </x:c>
      <x:c r="L20" s="5" t="n">
        <x:v>0.35</x:v>
      </x:c>
      <x:c r="M20" s="4" t="inlineStr">
        <x:is>
          <x:t xml:space="preserve"/>
        </x:is>
      </x:c>
      <x:c r="N20" s="4" t="inlineStr">
        <x:is>
          <x:t xml:space="preserve"/>
        </x:is>
      </x:c>
      <x:c r="O20" s="6" t="n"/>
      <x:c r="P20" s="5">
        <x:f>C20*F20*I20*L20</x:f>
        <x:v>0.0065625</x:v>
      </x:c>
      <x:c r="Q20" s="7">
        <x:f>IF(O20="","",O20/10*P20)</x:f>
      </x:c>
    </x:row>
    <x:row r="21">
      <x:c r="A21" s="4" t="inlineStr">
        <x:is>
          <x:t xml:space="preserve">D1</x:t>
        </x:is>
      </x:c>
      <x:c r="B21" s="4" t="inlineStr">
        <x:is>
          <x:t xml:space="preserve">Sponsor &amp; Governance</x:t>
        </x:is>
      </x:c>
      <x:c r="C21" s="5" t="n">
        <x:v>0.15</x:v>
      </x:c>
      <x:c r="D21" s="4" t="inlineStr">
        <x:is>
          <x:t xml:space="preserve">D1_C3</x:t>
        </x:is>
      </x:c>
      <x:c r="E21" s="4" t="inlineStr">
        <x:is>
          <x:t xml:space="preserve">Governance &amp; Transparency</x:t>
        </x:is>
      </x:c>
      <x:c r="F21" s="5" t="n">
        <x:v>0.25</x:v>
      </x:c>
      <x:c r="G21" s="4" t="inlineStr">
        <x:is>
          <x:t xml:space="preserve">D1_SC7</x:t>
        </x:is>
      </x:c>
      <x:c r="H21" s="4" t="inlineStr">
        <x:is>
          <x:t xml:space="preserve">Transparency &amp; reporting</x:t>
        </x:is>
      </x:c>
      <x:c r="I21" s="5" t="n">
        <x:v>0.5</x:v>
      </x:c>
      <x:c r="J21" s="4" t="inlineStr">
        <x:is>
          <x:t xml:space="preserve">D1_SS20</x:t>
        </x:is>
      </x:c>
      <x:c r="K21" s="4" t="inlineStr">
        <x:is>
          <x:t xml:space="preserve">Disponibilité information financière</x:t>
        </x:is>
      </x:c>
      <x:c r="L21" s="5" t="n">
        <x:v>0.35</x:v>
      </x:c>
      <x:c r="M21" s="4" t="inlineStr">
        <x:is>
          <x:t xml:space="preserve"/>
        </x:is>
      </x:c>
      <x:c r="N21" s="4" t="inlineStr">
        <x:is>
          <x:t xml:space="preserve"/>
        </x:is>
      </x:c>
      <x:c r="O21" s="6" t="n"/>
      <x:c r="P21" s="5">
        <x:f>C21*F21*I21*L21</x:f>
        <x:v>0.0065625</x:v>
      </x:c>
      <x:c r="Q21" s="7">
        <x:f>IF(O21="","",O21/10*P21)</x:f>
      </x:c>
    </x:row>
    <x:row r="22">
      <x:c r="A22" s="4" t="inlineStr">
        <x:is>
          <x:t xml:space="preserve">D1</x:t>
        </x:is>
      </x:c>
      <x:c r="B22" s="4" t="inlineStr">
        <x:is>
          <x:t xml:space="preserve">Sponsor &amp; Governance</x:t>
        </x:is>
      </x:c>
      <x:c r="C22" s="5" t="n">
        <x:v>0.15</x:v>
      </x:c>
      <x:c r="D22" s="4" t="inlineStr">
        <x:is>
          <x:t xml:space="preserve">D1_C3</x:t>
        </x:is>
      </x:c>
      <x:c r="E22" s="4" t="inlineStr">
        <x:is>
          <x:t xml:space="preserve">Governance &amp; Transparency</x:t>
        </x:is>
      </x:c>
      <x:c r="F22" s="5" t="n">
        <x:v>0.25</x:v>
      </x:c>
      <x:c r="G22" s="4" t="inlineStr">
        <x:is>
          <x:t xml:space="preserve">D1_SC7</x:t>
        </x:is>
      </x:c>
      <x:c r="H22" s="4" t="inlineStr">
        <x:is>
          <x:t xml:space="preserve">Transparency &amp; reporting</x:t>
        </x:is>
      </x:c>
      <x:c r="I22" s="5" t="n">
        <x:v>0.5</x:v>
      </x:c>
      <x:c r="J22" s="4" t="inlineStr">
        <x:is>
          <x:t xml:space="preserve">D1_SS21</x:t>
        </x:is>
      </x:c>
      <x:c r="K22" s="4" t="inlineStr">
        <x:is>
          <x:t xml:space="preserve">Qualité audit / due diligence</x:t>
        </x:is>
      </x:c>
      <x:c r="L22" s="5" t="n">
        <x:v>0.3</x:v>
      </x:c>
      <x:c r="M22" s="4" t="inlineStr">
        <x:is>
          <x:t xml:space="preserve"/>
        </x:is>
      </x:c>
      <x:c r="N22" s="4" t="inlineStr">
        <x:is>
          <x:t xml:space="preserve"/>
        </x:is>
      </x:c>
      <x:c r="O22" s="6" t="n"/>
      <x:c r="P22" s="5">
        <x:f>C22*F22*I22*L22</x:f>
        <x:v>0.005625</x:v>
      </x:c>
      <x:c r="Q22" s="7">
        <x:f>IF(O22="","",O22/10*P22)</x:f>
      </x:c>
    </x:row>
    <x:row r="23">
      <x:c r="A23" s="4" t="inlineStr">
        <x:is>
          <x:t xml:space="preserve">D2</x:t>
        </x:is>
      </x:c>
      <x:c r="B23" s="4" t="inlineStr">
        <x:is>
          <x:t xml:space="preserve">Project Fundamentals</x:t>
        </x:is>
      </x:c>
      <x:c r="C23" s="5" t="n">
        <x:v>0.15</x:v>
      </x:c>
      <x:c r="D23" s="4" t="inlineStr">
        <x:is>
          <x:t xml:space="preserve">D2_C1</x:t>
        </x:is>
      </x:c>
      <x:c r="E23" s="4" t="inlineStr">
        <x:is>
          <x:t xml:space="preserve">Market &amp; Strategic Positioning</x:t>
        </x:is>
      </x:c>
      <x:c r="F23" s="5" t="n">
        <x:v>0.4</x:v>
      </x:c>
      <x:c r="G23" s="4" t="inlineStr">
        <x:is>
          <x:t xml:space="preserve">D2_SC1</x:t>
        </x:is>
      </x:c>
      <x:c r="H23" s="4" t="inlineStr">
        <x:is>
          <x:t xml:space="preserve">Demand fundamentals</x:t>
        </x:is>
      </x:c>
      <x:c r="I23" s="5" t="n">
        <x:v>0.4</x:v>
      </x:c>
      <x:c r="J23" s="4" t="inlineStr">
        <x:is>
          <x:t xml:space="preserve">D2_SS1</x:t>
        </x:is>
      </x:c>
      <x:c r="K23" s="4" t="inlineStr">
        <x:is>
          <x:t xml:space="preserve">Profondeur de la demande</x:t>
        </x:is>
      </x:c>
      <x:c r="L23" s="5" t="n">
        <x:v>0.35</x:v>
      </x:c>
      <x:c r="M23" s="4" t="inlineStr">
        <x:is>
          <x:t xml:space="preserve"/>
        </x:is>
      </x:c>
      <x:c r="N23" s="4" t="inlineStr">
        <x:is>
          <x:t xml:space="preserve"/>
        </x:is>
      </x:c>
      <x:c r="O23" s="6" t="n"/>
      <x:c r="P23" s="5">
        <x:f>C23*F23*I23*L23</x:f>
        <x:v>0.0084</x:v>
      </x:c>
      <x:c r="Q23" s="7">
        <x:f>IF(O23="","",O23/10*P23)</x:f>
      </x:c>
    </x:row>
    <x:row r="24">
      <x:c r="A24" s="4" t="inlineStr">
        <x:is>
          <x:t xml:space="preserve">D2</x:t>
        </x:is>
      </x:c>
      <x:c r="B24" s="4" t="inlineStr">
        <x:is>
          <x:t xml:space="preserve">Project Fundamentals</x:t>
        </x:is>
      </x:c>
      <x:c r="C24" s="5" t="n">
        <x:v>0.15</x:v>
      </x:c>
      <x:c r="D24" s="4" t="inlineStr">
        <x:is>
          <x:t xml:space="preserve">D2_C1</x:t>
        </x:is>
      </x:c>
      <x:c r="E24" s="4" t="inlineStr">
        <x:is>
          <x:t xml:space="preserve">Market &amp; Strategic Positioning</x:t>
        </x:is>
      </x:c>
      <x:c r="F24" s="5" t="n">
        <x:v>0.4</x:v>
      </x:c>
      <x:c r="G24" s="4" t="inlineStr">
        <x:is>
          <x:t xml:space="preserve">D2_SC1</x:t>
        </x:is>
      </x:c>
      <x:c r="H24" s="4" t="inlineStr">
        <x:is>
          <x:t xml:space="preserve">Demand fundamentals</x:t>
        </x:is>
      </x:c>
      <x:c r="I24" s="5" t="n">
        <x:v>0.4</x:v>
      </x:c>
      <x:c r="J24" s="4" t="inlineStr">
        <x:is>
          <x:t xml:space="preserve">D2_SS2</x:t>
        </x:is>
      </x:c>
      <x:c r="K24" s="4" t="inlineStr">
        <x:is>
          <x:t xml:space="preserve">Résilience de la demande</x:t>
        </x:is>
      </x:c>
      <x:c r="L24" s="5" t="n">
        <x:v>0.35</x:v>
      </x:c>
      <x:c r="M24" s="4" t="inlineStr">
        <x:is>
          <x:t xml:space="preserve"/>
        </x:is>
      </x:c>
      <x:c r="N24" s="4" t="inlineStr">
        <x:is>
          <x:t xml:space="preserve"/>
        </x:is>
      </x:c>
      <x:c r="O24" s="6" t="n"/>
      <x:c r="P24" s="5">
        <x:f>C24*F24*I24*L24</x:f>
        <x:v>0.0084</x:v>
      </x:c>
      <x:c r="Q24" s="7">
        <x:f>IF(O24="","",O24/10*P24)</x:f>
      </x:c>
    </x:row>
    <x:row r="25">
      <x:c r="A25" s="4" t="inlineStr">
        <x:is>
          <x:t xml:space="preserve">D2</x:t>
        </x:is>
      </x:c>
      <x:c r="B25" s="4" t="inlineStr">
        <x:is>
          <x:t xml:space="preserve">Project Fundamentals</x:t>
        </x:is>
      </x:c>
      <x:c r="C25" s="5" t="n">
        <x:v>0.15</x:v>
      </x:c>
      <x:c r="D25" s="4" t="inlineStr">
        <x:is>
          <x:t xml:space="preserve">D2_C1</x:t>
        </x:is>
      </x:c>
      <x:c r="E25" s="4" t="inlineStr">
        <x:is>
          <x:t xml:space="preserve">Market &amp; Strategic Positioning</x:t>
        </x:is>
      </x:c>
      <x:c r="F25" s="5" t="n">
        <x:v>0.4</x:v>
      </x:c>
      <x:c r="G25" s="4" t="inlineStr">
        <x:is>
          <x:t xml:space="preserve">D2_SC1</x:t>
        </x:is>
      </x:c>
      <x:c r="H25" s="4" t="inlineStr">
        <x:is>
          <x:t xml:space="preserve">Demand fundamentals</x:t>
        </x:is>
      </x:c>
      <x:c r="I25" s="5" t="n">
        <x:v>0.4</x:v>
      </x:c>
      <x:c r="J25" s="4" t="inlineStr">
        <x:is>
          <x:t xml:space="preserve">D2_SS3</x:t>
        </x:is>
      </x:c>
      <x:c r="K25" s="4" t="inlineStr">
        <x:is>
          <x:t xml:space="preserve">Visibilité long terme</x:t>
        </x:is>
      </x:c>
      <x:c r="L25" s="5" t="n">
        <x:v>0.3</x:v>
      </x:c>
      <x:c r="M25" s="4" t="inlineStr">
        <x:is>
          <x:t xml:space="preserve"/>
        </x:is>
      </x:c>
      <x:c r="N25" s="4" t="inlineStr">
        <x:is>
          <x:t xml:space="preserve"/>
        </x:is>
      </x:c>
      <x:c r="O25" s="6" t="n"/>
      <x:c r="P25" s="5">
        <x:f>C25*F25*I25*L25</x:f>
        <x:v>0.0072</x:v>
      </x:c>
      <x:c r="Q25" s="7">
        <x:f>IF(O25="","",O25/10*P25)</x:f>
      </x:c>
    </x:row>
    <x:row r="26">
      <x:c r="A26" s="4" t="inlineStr">
        <x:is>
          <x:t xml:space="preserve">D2</x:t>
        </x:is>
      </x:c>
      <x:c r="B26" s="4" t="inlineStr">
        <x:is>
          <x:t xml:space="preserve">Project Fundamentals</x:t>
        </x:is>
      </x:c>
      <x:c r="C26" s="5" t="n">
        <x:v>0.15</x:v>
      </x:c>
      <x:c r="D26" s="4" t="inlineStr">
        <x:is>
          <x:t xml:space="preserve">D2_C1</x:t>
        </x:is>
      </x:c>
      <x:c r="E26" s="4" t="inlineStr">
        <x:is>
          <x:t xml:space="preserve">Market &amp; Strategic Positioning</x:t>
        </x:is>
      </x:c>
      <x:c r="F26" s="5" t="n">
        <x:v>0.4</x:v>
      </x:c>
      <x:c r="G26" s="4" t="inlineStr">
        <x:is>
          <x:t xml:space="preserve">D2_SC2</x:t>
        </x:is>
      </x:c>
      <x:c r="H26" s="4" t="inlineStr">
        <x:is>
          <x:t xml:space="preserve">Competitive position</x:t>
        </x:is>
      </x:c>
      <x:c r="I26" s="5" t="n">
        <x:v>0.35</x:v>
      </x:c>
      <x:c r="J26" s="4" t="inlineStr">
        <x:is>
          <x:t xml:space="preserve">D2_SS4</x:t>
        </x:is>
      </x:c>
      <x:c r="K26" s="4" t="inlineStr">
        <x:is>
          <x:t xml:space="preserve">Positionnement concurrentiel</x:t>
        </x:is>
      </x:c>
      <x:c r="L26" s="5" t="n">
        <x:v>0.4</x:v>
      </x:c>
      <x:c r="M26" s="4" t="inlineStr">
        <x:is>
          <x:t xml:space="preserve"/>
        </x:is>
      </x:c>
      <x:c r="N26" s="4" t="inlineStr">
        <x:is>
          <x:t xml:space="preserve"/>
        </x:is>
      </x:c>
      <x:c r="O26" s="6" t="n"/>
      <x:c r="P26" s="5">
        <x:f>C26*F26*I26*L26</x:f>
        <x:v>0.0084</x:v>
      </x:c>
      <x:c r="Q26" s="7">
        <x:f>IF(O26="","",O26/10*P26)</x:f>
      </x:c>
    </x:row>
    <x:row r="27">
      <x:c r="A27" s="4" t="inlineStr">
        <x:is>
          <x:t xml:space="preserve">D2</x:t>
        </x:is>
      </x:c>
      <x:c r="B27" s="4" t="inlineStr">
        <x:is>
          <x:t xml:space="preserve">Project Fundamentals</x:t>
        </x:is>
      </x:c>
      <x:c r="C27" s="5" t="n">
        <x:v>0.15</x:v>
      </x:c>
      <x:c r="D27" s="4" t="inlineStr">
        <x:is>
          <x:t xml:space="preserve">D2_C1</x:t>
        </x:is>
      </x:c>
      <x:c r="E27" s="4" t="inlineStr">
        <x:is>
          <x:t xml:space="preserve">Market &amp; Strategic Positioning</x:t>
        </x:is>
      </x:c>
      <x:c r="F27" s="5" t="n">
        <x:v>0.4</x:v>
      </x:c>
      <x:c r="G27" s="4" t="inlineStr">
        <x:is>
          <x:t xml:space="preserve">D2_SC2</x:t>
        </x:is>
      </x:c>
      <x:c r="H27" s="4" t="inlineStr">
        <x:is>
          <x:t xml:space="preserve">Competitive position</x:t>
        </x:is>
      </x:c>
      <x:c r="I27" s="5" t="n">
        <x:v>0.35</x:v>
      </x:c>
      <x:c r="J27" s="4" t="inlineStr">
        <x:is>
          <x:t xml:space="preserve">D2_SS5</x:t>
        </x:is>
      </x:c>
      <x:c r="K27" s="4" t="inlineStr">
        <x:is>
          <x:t xml:space="preserve">Barrières à l'entrée</x:t>
        </x:is>
      </x:c>
      <x:c r="L27" s="5" t="n">
        <x:v>0.3</x:v>
      </x:c>
      <x:c r="M27" s="4" t="inlineStr">
        <x:is>
          <x:t xml:space="preserve"/>
        </x:is>
      </x:c>
      <x:c r="N27" s="4" t="inlineStr">
        <x:is>
          <x:t xml:space="preserve"/>
        </x:is>
      </x:c>
      <x:c r="O27" s="6" t="n"/>
      <x:c r="P27" s="5">
        <x:f>C27*F27*I27*L27</x:f>
        <x:v>0.006299999999999999</x:v>
      </x:c>
      <x:c r="Q27" s="7">
        <x:f>IF(O27="","",O27/10*P27)</x:f>
      </x:c>
    </x:row>
    <x:row r="28">
      <x:c r="A28" s="4" t="inlineStr">
        <x:is>
          <x:t xml:space="preserve">D2</x:t>
        </x:is>
      </x:c>
      <x:c r="B28" s="4" t="inlineStr">
        <x:is>
          <x:t xml:space="preserve">Project Fundamentals</x:t>
        </x:is>
      </x:c>
      <x:c r="C28" s="5" t="n">
        <x:v>0.15</x:v>
      </x:c>
      <x:c r="D28" s="4" t="inlineStr">
        <x:is>
          <x:t xml:space="preserve">D2_C1</x:t>
        </x:is>
      </x:c>
      <x:c r="E28" s="4" t="inlineStr">
        <x:is>
          <x:t xml:space="preserve">Market &amp; Strategic Positioning</x:t>
        </x:is>
      </x:c>
      <x:c r="F28" s="5" t="n">
        <x:v>0.4</x:v>
      </x:c>
      <x:c r="G28" s="4" t="inlineStr">
        <x:is>
          <x:t xml:space="preserve">D2_SC2</x:t>
        </x:is>
      </x:c>
      <x:c r="H28" s="4" t="inlineStr">
        <x:is>
          <x:t xml:space="preserve">Competitive position</x:t>
        </x:is>
      </x:c>
      <x:c r="I28" s="5" t="n">
        <x:v>0.35</x:v>
      </x:c>
      <x:c r="J28" s="4" t="inlineStr">
        <x:is>
          <x:t xml:space="preserve">D2_SS6</x:t>
        </x:is>
      </x:c>
      <x:c r="K28" s="4" t="inlineStr">
        <x:is>
          <x:t xml:space="preserve">Sensibilité prix / volume</x:t>
        </x:is>
      </x:c>
      <x:c r="L28" s="5" t="n">
        <x:v>0.3</x:v>
      </x:c>
      <x:c r="M28" s="4" t="inlineStr">
        <x:is>
          <x:t xml:space="preserve"/>
        </x:is>
      </x:c>
      <x:c r="N28" s="4" t="inlineStr">
        <x:is>
          <x:t xml:space="preserve"/>
        </x:is>
      </x:c>
      <x:c r="O28" s="6" t="n"/>
      <x:c r="P28" s="5">
        <x:f>C28*F28*I28*L28</x:f>
        <x:v>0.006299999999999999</x:v>
      </x:c>
      <x:c r="Q28" s="7">
        <x:f>IF(O28="","",O28/10*P28)</x:f>
      </x:c>
    </x:row>
    <x:row r="29">
      <x:c r="A29" s="4" t="inlineStr">
        <x:is>
          <x:t xml:space="preserve">D2</x:t>
        </x:is>
      </x:c>
      <x:c r="B29" s="4" t="inlineStr">
        <x:is>
          <x:t xml:space="preserve">Project Fundamentals</x:t>
        </x:is>
      </x:c>
      <x:c r="C29" s="5" t="n">
        <x:v>0.15</x:v>
      </x:c>
      <x:c r="D29" s="4" t="inlineStr">
        <x:is>
          <x:t xml:space="preserve">D2_C1</x:t>
        </x:is>
      </x:c>
      <x:c r="E29" s="4" t="inlineStr">
        <x:is>
          <x:t xml:space="preserve">Market &amp; Strategic Positioning</x:t>
        </x:is>
      </x:c>
      <x:c r="F29" s="5" t="n">
        <x:v>0.4</x:v>
      </x:c>
      <x:c r="G29" s="4" t="inlineStr">
        <x:is>
          <x:t xml:space="preserve">D2_SC3</x:t>
        </x:is>
      </x:c>
      <x:c r="H29" s="4" t="inlineStr">
        <x:is>
          <x:t xml:space="preserve">Strategic relevance</x:t>
        </x:is>
      </x:c>
      <x:c r="I29" s="5" t="n">
        <x:v>0.25</x:v>
      </x:c>
      <x:c r="J29" s="4" t="inlineStr">
        <x:is>
          <x:t xml:space="preserve">D2_SS7</x:t>
        </x:is>
      </x:c>
      <x:c r="K29" s="4" t="inlineStr">
        <x:is>
          <x:t xml:space="preserve">Importance stratégique</x:t>
        </x:is>
      </x:c>
      <x:c r="L29" s="5" t="n">
        <x:v>0.4</x:v>
      </x:c>
      <x:c r="M29" s="4" t="inlineStr">
        <x:is>
          <x:t xml:space="preserve"/>
        </x:is>
      </x:c>
      <x:c r="N29" s="4" t="inlineStr">
        <x:is>
          <x:t xml:space="preserve"/>
        </x:is>
      </x:c>
      <x:c r="O29" s="6" t="n"/>
      <x:c r="P29" s="5">
        <x:f>C29*F29*I29*L29</x:f>
        <x:v>0.006</x:v>
      </x:c>
      <x:c r="Q29" s="7">
        <x:f>IF(O29="","",O29/10*P29)</x:f>
      </x:c>
    </x:row>
    <x:row r="30">
      <x:c r="A30" s="4" t="inlineStr">
        <x:is>
          <x:t xml:space="preserve">D2</x:t>
        </x:is>
      </x:c>
      <x:c r="B30" s="4" t="inlineStr">
        <x:is>
          <x:t xml:space="preserve">Project Fundamentals</x:t>
        </x:is>
      </x:c>
      <x:c r="C30" s="5" t="n">
        <x:v>0.15</x:v>
      </x:c>
      <x:c r="D30" s="4" t="inlineStr">
        <x:is>
          <x:t xml:space="preserve">D2_C1</x:t>
        </x:is>
      </x:c>
      <x:c r="E30" s="4" t="inlineStr">
        <x:is>
          <x:t xml:space="preserve">Market &amp; Strategic Positioning</x:t>
        </x:is>
      </x:c>
      <x:c r="F30" s="5" t="n">
        <x:v>0.4</x:v>
      </x:c>
      <x:c r="G30" s="4" t="inlineStr">
        <x:is>
          <x:t xml:space="preserve">D2_SC3</x:t>
        </x:is>
      </x:c>
      <x:c r="H30" s="4" t="inlineStr">
        <x:is>
          <x:t xml:space="preserve">Strategic relevance</x:t>
        </x:is>
      </x:c>
      <x:c r="I30" s="5" t="n">
        <x:v>0.25</x:v>
      </x:c>
      <x:c r="J30" s="4" t="inlineStr">
        <x:is>
          <x:t xml:space="preserve">D2_SS8</x:t>
        </x:is>
      </x:c>
      <x:c r="K30" s="4" t="inlineStr">
        <x:is>
          <x:t xml:space="preserve">Alignement politiques publiques</x:t>
        </x:is>
      </x:c>
      <x:c r="L30" s="5" t="n">
        <x:v>0.3</x:v>
      </x:c>
      <x:c r="M30" s="4" t="inlineStr">
        <x:is>
          <x:t xml:space="preserve"/>
        </x:is>
      </x:c>
      <x:c r="N30" s="4" t="inlineStr">
        <x:is>
          <x:t xml:space="preserve"/>
        </x:is>
      </x:c>
      <x:c r="O30" s="6" t="n"/>
      <x:c r="P30" s="5">
        <x:f>C30*F30*I30*L30</x:f>
        <x:v>0.0045</x:v>
      </x:c>
      <x:c r="Q30" s="7">
        <x:f>IF(O30="","",O30/10*P30)</x:f>
      </x:c>
    </x:row>
    <x:row r="31">
      <x:c r="A31" s="4" t="inlineStr">
        <x:is>
          <x:t xml:space="preserve">D2</x:t>
        </x:is>
      </x:c>
      <x:c r="B31" s="4" t="inlineStr">
        <x:is>
          <x:t xml:space="preserve">Project Fundamentals</x:t>
        </x:is>
      </x:c>
      <x:c r="C31" s="5" t="n">
        <x:v>0.15</x:v>
      </x:c>
      <x:c r="D31" s="4" t="inlineStr">
        <x:is>
          <x:t xml:space="preserve">D2_C1</x:t>
        </x:is>
      </x:c>
      <x:c r="E31" s="4" t="inlineStr">
        <x:is>
          <x:t xml:space="preserve">Market &amp; Strategic Positioning</x:t>
        </x:is>
      </x:c>
      <x:c r="F31" s="5" t="n">
        <x:v>0.4</x:v>
      </x:c>
      <x:c r="G31" s="4" t="inlineStr">
        <x:is>
          <x:t xml:space="preserve">D2_SC3</x:t>
        </x:is>
      </x:c>
      <x:c r="H31" s="4" t="inlineStr">
        <x:is>
          <x:t xml:space="preserve">Strategic relevance</x:t>
        </x:is>
      </x:c>
      <x:c r="I31" s="5" t="n">
        <x:v>0.25</x:v>
      </x:c>
      <x:c r="J31" s="4" t="inlineStr">
        <x:is>
          <x:t xml:space="preserve">D2_SS9</x:t>
        </x:is>
      </x:c>
      <x:c r="K31" s="4" t="inlineStr">
        <x:is>
          <x:t xml:space="preserve">Soutien institutionnel</x:t>
        </x:is>
      </x:c>
      <x:c r="L31" s="5" t="n">
        <x:v>0.3</x:v>
      </x:c>
      <x:c r="M31" s="4" t="inlineStr">
        <x:is>
          <x:t xml:space="preserve"/>
        </x:is>
      </x:c>
      <x:c r="N31" s="4" t="inlineStr">
        <x:is>
          <x:t xml:space="preserve"/>
        </x:is>
      </x:c>
      <x:c r="O31" s="6" t="n"/>
      <x:c r="P31" s="5">
        <x:f>C31*F31*I31*L31</x:f>
        <x:v>0.0045</x:v>
      </x:c>
      <x:c r="Q31" s="7">
        <x:f>IF(O31="","",O31/10*P31)</x:f>
      </x:c>
    </x:row>
    <x:row r="32">
      <x:c r="A32" s="4" t="inlineStr">
        <x:is>
          <x:t xml:space="preserve">D2</x:t>
        </x:is>
      </x:c>
      <x:c r="B32" s="4" t="inlineStr">
        <x:is>
          <x:t xml:space="preserve">Project Fundamentals</x:t>
        </x:is>
      </x:c>
      <x:c r="C32" s="5" t="n">
        <x:v>0.15</x:v>
      </x:c>
      <x:c r="D32" s="4" t="inlineStr">
        <x:is>
          <x:t xml:space="preserve">D2_C2</x:t>
        </x:is>
      </x:c>
      <x:c r="E32" s="4" t="inlineStr">
        <x:is>
          <x:t xml:space="preserve">Technical &amp; Site Fundamentals</x:t>
        </x:is>
      </x:c>
      <x:c r="F32" s="5" t="n">
        <x:v>0.35</x:v>
      </x:c>
      <x:c r="G32" s="4" t="inlineStr">
        <x:is>
          <x:t xml:space="preserve">D2_SC4</x:t>
        </x:is>
      </x:c>
      <x:c r="H32" s="4" t="inlineStr">
        <x:is>
          <x:t xml:space="preserve">Technology</x:t>
        </x:is>
      </x:c>
      <x:c r="I32" s="5" t="n">
        <x:v>0.4</x:v>
      </x:c>
      <x:c r="J32" s="4" t="inlineStr">
        <x:is>
          <x:t xml:space="preserve">D2_SS10</x:t>
        </x:is>
      </x:c>
      <x:c r="K32" s="4" t="inlineStr">
        <x:is>
          <x:t xml:space="preserve">Maturité technologique</x:t>
        </x:is>
      </x:c>
      <x:c r="L32" s="5" t="n">
        <x:v>0.4</x:v>
      </x:c>
      <x:c r="M32" s="4" t="inlineStr">
        <x:is>
          <x:t xml:space="preserve"/>
        </x:is>
      </x:c>
      <x:c r="N32" s="4" t="inlineStr">
        <x:is>
          <x:t xml:space="preserve"/>
        </x:is>
      </x:c>
      <x:c r="O32" s="6" t="n"/>
      <x:c r="P32" s="5">
        <x:f>C32*F32*I32*L32</x:f>
        <x:v>0.008400000000000001</x:v>
      </x:c>
      <x:c r="Q32" s="7">
        <x:f>IF(O32="","",O32/10*P32)</x:f>
      </x:c>
    </x:row>
    <x:row r="33">
      <x:c r="A33" s="4" t="inlineStr">
        <x:is>
          <x:t xml:space="preserve">D2</x:t>
        </x:is>
      </x:c>
      <x:c r="B33" s="4" t="inlineStr">
        <x:is>
          <x:t xml:space="preserve">Project Fundamentals</x:t>
        </x:is>
      </x:c>
      <x:c r="C33" s="5" t="n">
        <x:v>0.15</x:v>
      </x:c>
      <x:c r="D33" s="4" t="inlineStr">
        <x:is>
          <x:t xml:space="preserve">D2_C2</x:t>
        </x:is>
      </x:c>
      <x:c r="E33" s="4" t="inlineStr">
        <x:is>
          <x:t xml:space="preserve">Technical &amp; Site Fundamentals</x:t>
        </x:is>
      </x:c>
      <x:c r="F33" s="5" t="n">
        <x:v>0.35</x:v>
      </x:c>
      <x:c r="G33" s="4" t="inlineStr">
        <x:is>
          <x:t xml:space="preserve">D2_SC4</x:t>
        </x:is>
      </x:c>
      <x:c r="H33" s="4" t="inlineStr">
        <x:is>
          <x:t xml:space="preserve">Technology</x:t>
        </x:is>
      </x:c>
      <x:c r="I33" s="5" t="n">
        <x:v>0.4</x:v>
      </x:c>
      <x:c r="J33" s="4" t="inlineStr">
        <x:is>
          <x:t xml:space="preserve">D2_SS11</x:t>
        </x:is>
      </x:c>
      <x:c r="K33" s="4" t="inlineStr">
        <x:is>
          <x:t xml:space="preserve">Complexité d'intégration</x:t>
        </x:is>
      </x:c>
      <x:c r="L33" s="5" t="n">
        <x:v>0.35</x:v>
      </x:c>
      <x:c r="M33" s="4" t="inlineStr">
        <x:is>
          <x:t xml:space="preserve"/>
        </x:is>
      </x:c>
      <x:c r="N33" s="4" t="inlineStr">
        <x:is>
          <x:t xml:space="preserve"/>
        </x:is>
      </x:c>
      <x:c r="O33" s="6" t="n"/>
      <x:c r="P33" s="5">
        <x:f>C33*F33*I33*L33</x:f>
        <x:v>0.00735</x:v>
      </x:c>
      <x:c r="Q33" s="7">
        <x:f>IF(O33="","",O33/10*P33)</x:f>
      </x:c>
    </x:row>
    <x:row r="34">
      <x:c r="A34" s="4" t="inlineStr">
        <x:is>
          <x:t xml:space="preserve">D2</x:t>
        </x:is>
      </x:c>
      <x:c r="B34" s="4" t="inlineStr">
        <x:is>
          <x:t xml:space="preserve">Project Fundamentals</x:t>
        </x:is>
      </x:c>
      <x:c r="C34" s="5" t="n">
        <x:v>0.15</x:v>
      </x:c>
      <x:c r="D34" s="4" t="inlineStr">
        <x:is>
          <x:t xml:space="preserve">D2_C2</x:t>
        </x:is>
      </x:c>
      <x:c r="E34" s="4" t="inlineStr">
        <x:is>
          <x:t xml:space="preserve">Technical &amp; Site Fundamentals</x:t>
        </x:is>
      </x:c>
      <x:c r="F34" s="5" t="n">
        <x:v>0.35</x:v>
      </x:c>
      <x:c r="G34" s="4" t="inlineStr">
        <x:is>
          <x:t xml:space="preserve">D2_SC4</x:t>
        </x:is>
      </x:c>
      <x:c r="H34" s="4" t="inlineStr">
        <x:is>
          <x:t xml:space="preserve">Technology</x:t>
        </x:is>
      </x:c>
      <x:c r="I34" s="5" t="n">
        <x:v>0.4</x:v>
      </x:c>
      <x:c r="J34" s="4" t="inlineStr">
        <x:is>
          <x:t xml:space="preserve">D2_SS12</x:t>
        </x:is>
      </x:c>
      <x:c r="K34" s="4" t="inlineStr">
        <x:is>
          <x:t xml:space="preserve">Risque obsolescence</x:t>
        </x:is>
      </x:c>
      <x:c r="L34" s="5" t="n">
        <x:v>0.25</x:v>
      </x:c>
      <x:c r="M34" s="4" t="inlineStr">
        <x:is>
          <x:t xml:space="preserve"/>
        </x:is>
      </x:c>
      <x:c r="N34" s="4" t="inlineStr">
        <x:is>
          <x:t xml:space="preserve"/>
        </x:is>
      </x:c>
      <x:c r="O34" s="6" t="n"/>
      <x:c r="P34" s="5">
        <x:f>C34*F34*I34*L34</x:f>
        <x:v>0.00525</x:v>
      </x:c>
      <x:c r="Q34" s="7">
        <x:f>IF(O34="","",O34/10*P34)</x:f>
      </x:c>
    </x:row>
    <x:row r="35">
      <x:c r="A35" s="4" t="inlineStr">
        <x:is>
          <x:t xml:space="preserve">D2</x:t>
        </x:is>
      </x:c>
      <x:c r="B35" s="4" t="inlineStr">
        <x:is>
          <x:t xml:space="preserve">Project Fundamentals</x:t>
        </x:is>
      </x:c>
      <x:c r="C35" s="5" t="n">
        <x:v>0.15</x:v>
      </x:c>
      <x:c r="D35" s="4" t="inlineStr">
        <x:is>
          <x:t xml:space="preserve">D2_C2</x:t>
        </x:is>
      </x:c>
      <x:c r="E35" s="4" t="inlineStr">
        <x:is>
          <x:t xml:space="preserve">Technical &amp; Site Fundamentals</x:t>
        </x:is>
      </x:c>
      <x:c r="F35" s="5" t="n">
        <x:v>0.35</x:v>
      </x:c>
      <x:c r="G35" s="4" t="inlineStr">
        <x:is>
          <x:t xml:space="preserve">D2_SC5</x:t>
        </x:is>
      </x:c>
      <x:c r="H35" s="4" t="inlineStr">
        <x:is>
          <x:t xml:space="preserve">Site &amp; location</x:t>
        </x:is>
      </x:c>
      <x:c r="I35" s="5" t="n">
        <x:v>0.35</x:v>
      </x:c>
      <x:c r="J35" s="4" t="inlineStr">
        <x:is>
          <x:t xml:space="preserve">D2_SS13</x:t>
        </x:is>
      </x:c>
      <x:c r="K35" s="4" t="inlineStr">
        <x:is>
          <x:t xml:space="preserve">Qualité du site</x:t>
        </x:is>
      </x:c>
      <x:c r="L35" s="5" t="n">
        <x:v>0.35</x:v>
      </x:c>
      <x:c r="M35" s="4" t="inlineStr">
        <x:is>
          <x:t xml:space="preserve"/>
        </x:is>
      </x:c>
      <x:c r="N35" s="4" t="inlineStr">
        <x:is>
          <x:t xml:space="preserve"/>
        </x:is>
      </x:c>
      <x:c r="O35" s="6" t="n"/>
      <x:c r="P35" s="5">
        <x:f>C35*F35*I35*L35</x:f>
        <x:v>0.0064312499999999995</x:v>
      </x:c>
      <x:c r="Q35" s="7">
        <x:f>IF(O35="","",O35/10*P35)</x:f>
      </x:c>
    </x:row>
    <x:row r="36">
      <x:c r="A36" s="4" t="inlineStr">
        <x:is>
          <x:t xml:space="preserve">D2</x:t>
        </x:is>
      </x:c>
      <x:c r="B36" s="4" t="inlineStr">
        <x:is>
          <x:t xml:space="preserve">Project Fundamentals</x:t>
        </x:is>
      </x:c>
      <x:c r="C36" s="5" t="n">
        <x:v>0.15</x:v>
      </x:c>
      <x:c r="D36" s="4" t="inlineStr">
        <x:is>
          <x:t xml:space="preserve">D2_C2</x:t>
        </x:is>
      </x:c>
      <x:c r="E36" s="4" t="inlineStr">
        <x:is>
          <x:t xml:space="preserve">Technical &amp; Site Fundamentals</x:t>
        </x:is>
      </x:c>
      <x:c r="F36" s="5" t="n">
        <x:v>0.35</x:v>
      </x:c>
      <x:c r="G36" s="4" t="inlineStr">
        <x:is>
          <x:t xml:space="preserve">D2_SC5</x:t>
        </x:is>
      </x:c>
      <x:c r="H36" s="4" t="inlineStr">
        <x:is>
          <x:t xml:space="preserve">Site &amp; location</x:t>
        </x:is>
      </x:c>
      <x:c r="I36" s="5" t="n">
        <x:v>0.35</x:v>
      </x:c>
      <x:c r="J36" s="4" t="inlineStr">
        <x:is>
          <x:t xml:space="preserve">D2_SS14</x:t>
        </x:is>
      </x:c>
      <x:c r="K36" s="4" t="inlineStr">
        <x:is>
          <x:t xml:space="preserve">Accès aux infrastructures</x:t>
        </x:is>
      </x:c>
      <x:c r="L36" s="5" t="n">
        <x:v>0.35</x:v>
      </x:c>
      <x:c r="M36" s="4" t="inlineStr">
        <x:is>
          <x:t xml:space="preserve"/>
        </x:is>
      </x:c>
      <x:c r="N36" s="4" t="inlineStr">
        <x:is>
          <x:t xml:space="preserve"/>
        </x:is>
      </x:c>
      <x:c r="O36" s="6" t="n"/>
      <x:c r="P36" s="5">
        <x:f>C36*F36*I36*L36</x:f>
        <x:v>0.0064312499999999995</x:v>
      </x:c>
      <x:c r="Q36" s="7">
        <x:f>IF(O36="","",O36/10*P36)</x:f>
      </x:c>
    </x:row>
    <x:row r="37">
      <x:c r="A37" s="4" t="inlineStr">
        <x:is>
          <x:t xml:space="preserve">D2</x:t>
        </x:is>
      </x:c>
      <x:c r="B37" s="4" t="inlineStr">
        <x:is>
          <x:t xml:space="preserve">Project Fundamentals</x:t>
        </x:is>
      </x:c>
      <x:c r="C37" s="5" t="n">
        <x:v>0.15</x:v>
      </x:c>
      <x:c r="D37" s="4" t="inlineStr">
        <x:is>
          <x:t xml:space="preserve">D2_C2</x:t>
        </x:is>
      </x:c>
      <x:c r="E37" s="4" t="inlineStr">
        <x:is>
          <x:t xml:space="preserve">Technical &amp; Site Fundamentals</x:t>
        </x:is>
      </x:c>
      <x:c r="F37" s="5" t="n">
        <x:v>0.35</x:v>
      </x:c>
      <x:c r="G37" s="4" t="inlineStr">
        <x:is>
          <x:t xml:space="preserve">D2_SC5</x:t>
        </x:is>
      </x:c>
      <x:c r="H37" s="4" t="inlineStr">
        <x:is>
          <x:t xml:space="preserve">Site &amp; location</x:t>
        </x:is>
      </x:c>
      <x:c r="I37" s="5" t="n">
        <x:v>0.35</x:v>
      </x:c>
      <x:c r="J37" s="4" t="inlineStr">
        <x:is>
          <x:t xml:space="preserve">D2_SS15</x:t>
        </x:is>
      </x:c>
      <x:c r="K37" s="4" t="inlineStr">
        <x:is>
          <x:t xml:space="preserve">Contraintes foncières / servitudes</x:t>
        </x:is>
      </x:c>
      <x:c r="L37" s="5" t="n">
        <x:v>0.3</x:v>
      </x:c>
      <x:c r="M37" s="4" t="inlineStr">
        <x:is>
          <x:t xml:space="preserve"/>
        </x:is>
      </x:c>
      <x:c r="N37" s="4" t="inlineStr">
        <x:is>
          <x:t xml:space="preserve"/>
        </x:is>
      </x:c>
      <x:c r="O37" s="6" t="n"/>
      <x:c r="P37" s="5">
        <x:f>C37*F37*I37*L37</x:f>
        <x:v>0.005512499999999999</x:v>
      </x:c>
      <x:c r="Q37" s="7">
        <x:f>IF(O37="","",O37/10*P37)</x:f>
      </x:c>
    </x:row>
    <x:row r="38">
      <x:c r="A38" s="4" t="inlineStr">
        <x:is>
          <x:t xml:space="preserve">D2</x:t>
        </x:is>
      </x:c>
      <x:c r="B38" s="4" t="inlineStr">
        <x:is>
          <x:t xml:space="preserve">Project Fundamentals</x:t>
        </x:is>
      </x:c>
      <x:c r="C38" s="5" t="n">
        <x:v>0.15</x:v>
      </x:c>
      <x:c r="D38" s="4" t="inlineStr">
        <x:is>
          <x:t xml:space="preserve">D2_C2</x:t>
        </x:is>
      </x:c>
      <x:c r="E38" s="4" t="inlineStr">
        <x:is>
          <x:t xml:space="preserve">Technical &amp; Site Fundamentals</x:t>
        </x:is>
      </x:c>
      <x:c r="F38" s="5" t="n">
        <x:v>0.35</x:v>
      </x:c>
      <x:c r="G38" s="4" t="inlineStr">
        <x:is>
          <x:t xml:space="preserve">D2_SC6</x:t>
        </x:is>
      </x:c>
      <x:c r="H38" s="4" t="inlineStr">
        <x:is>
          <x:t xml:space="preserve">Inputs availability</x:t>
        </x:is>
      </x:c>
      <x:c r="I38" s="5" t="n">
        <x:v>0.25</x:v>
      </x:c>
      <x:c r="J38" s="4" t="inlineStr">
        <x:is>
          <x:t xml:space="preserve">D2_SS16</x:t>
        </x:is>
      </x:c>
      <x:c r="K38" s="4" t="inlineStr">
        <x:is>
          <x:t xml:space="preserve">Disponibilité matières / ressources</x:t>
        </x:is>
      </x:c>
      <x:c r="L38" s="5" t="n">
        <x:v>0.4</x:v>
      </x:c>
      <x:c r="M38" s="4" t="inlineStr">
        <x:is>
          <x:t xml:space="preserve"/>
        </x:is>
      </x:c>
      <x:c r="N38" s="4" t="inlineStr">
        <x:is>
          <x:t xml:space="preserve"/>
        </x:is>
      </x:c>
      <x:c r="O38" s="6" t="n"/>
      <x:c r="P38" s="5">
        <x:f>C38*F38*I38*L38</x:f>
        <x:v>0.00525</x:v>
      </x:c>
      <x:c r="Q38" s="7">
        <x:f>IF(O38="","",O38/10*P38)</x:f>
      </x:c>
    </x:row>
    <x:row r="39">
      <x:c r="A39" s="4" t="inlineStr">
        <x:is>
          <x:t xml:space="preserve">D2</x:t>
        </x:is>
      </x:c>
      <x:c r="B39" s="4" t="inlineStr">
        <x:is>
          <x:t xml:space="preserve">Project Fundamentals</x:t>
        </x:is>
      </x:c>
      <x:c r="C39" s="5" t="n">
        <x:v>0.15</x:v>
      </x:c>
      <x:c r="D39" s="4" t="inlineStr">
        <x:is>
          <x:t xml:space="preserve">D2_C2</x:t>
        </x:is>
      </x:c>
      <x:c r="E39" s="4" t="inlineStr">
        <x:is>
          <x:t xml:space="preserve">Technical &amp; Site Fundamentals</x:t>
        </x:is>
      </x:c>
      <x:c r="F39" s="5" t="n">
        <x:v>0.35</x:v>
      </x:c>
      <x:c r="G39" s="4" t="inlineStr">
        <x:is>
          <x:t xml:space="preserve">D2_SC6</x:t>
        </x:is>
      </x:c>
      <x:c r="H39" s="4" t="inlineStr">
        <x:is>
          <x:t xml:space="preserve">Inputs availability</x:t>
        </x:is>
      </x:c>
      <x:c r="I39" s="5" t="n">
        <x:v>0.25</x:v>
      </x:c>
      <x:c r="J39" s="4" t="inlineStr">
        <x:is>
          <x:t xml:space="preserve">D2_SS17</x:t>
        </x:is>
      </x:c>
      <x:c r="K39" s="4" t="inlineStr">
        <x:is>
          <x:t xml:space="preserve">Fiabilité logistique</x:t>
        </x:is>
      </x:c>
      <x:c r="L39" s="5" t="n">
        <x:v>0.3</x:v>
      </x:c>
      <x:c r="M39" s="4" t="inlineStr">
        <x:is>
          <x:t xml:space="preserve"/>
        </x:is>
      </x:c>
      <x:c r="N39" s="4" t="inlineStr">
        <x:is>
          <x:t xml:space="preserve"/>
        </x:is>
      </x:c>
      <x:c r="O39" s="6" t="n"/>
      <x:c r="P39" s="5">
        <x:f>C39*F39*I39*L39</x:f>
        <x:v>0.0039375</x:v>
      </x:c>
      <x:c r="Q39" s="7">
        <x:f>IF(O39="","",O39/10*P39)</x:f>
      </x:c>
    </x:row>
    <x:row r="40">
      <x:c r="A40" s="4" t="inlineStr">
        <x:is>
          <x:t xml:space="preserve">D2</x:t>
        </x:is>
      </x:c>
      <x:c r="B40" s="4" t="inlineStr">
        <x:is>
          <x:t xml:space="preserve">Project Fundamentals</x:t>
        </x:is>
      </x:c>
      <x:c r="C40" s="5" t="n">
        <x:v>0.15</x:v>
      </x:c>
      <x:c r="D40" s="4" t="inlineStr">
        <x:is>
          <x:t xml:space="preserve">D2_C2</x:t>
        </x:is>
      </x:c>
      <x:c r="E40" s="4" t="inlineStr">
        <x:is>
          <x:t xml:space="preserve">Technical &amp; Site Fundamentals</x:t>
        </x:is>
      </x:c>
      <x:c r="F40" s="5" t="n">
        <x:v>0.35</x:v>
      </x:c>
      <x:c r="G40" s="4" t="inlineStr">
        <x:is>
          <x:t xml:space="preserve">D2_SC6</x:t>
        </x:is>
      </x:c>
      <x:c r="H40" s="4" t="inlineStr">
        <x:is>
          <x:t xml:space="preserve">Inputs availability</x:t>
        </x:is>
      </x:c>
      <x:c r="I40" s="5" t="n">
        <x:v>0.25</x:v>
      </x:c>
      <x:c r="J40" s="4" t="inlineStr">
        <x:is>
          <x:t xml:space="preserve">D2_SS18</x:t>
        </x:is>
      </x:c>
      <x:c r="K40" s="4" t="inlineStr">
        <x:is>
          <x:t xml:space="preserve">Risque dépendance fournisseur clé</x:t>
        </x:is>
      </x:c>
      <x:c r="L40" s="5" t="n">
        <x:v>0.3</x:v>
      </x:c>
      <x:c r="M40" s="4" t="inlineStr">
        <x:is>
          <x:t xml:space="preserve"/>
        </x:is>
      </x:c>
      <x:c r="N40" s="4" t="inlineStr">
        <x:is>
          <x:t xml:space="preserve"/>
        </x:is>
      </x:c>
      <x:c r="O40" s="6" t="n"/>
      <x:c r="P40" s="5">
        <x:f>C40*F40*I40*L40</x:f>
        <x:v>0.0039375</x:v>
      </x:c>
      <x:c r="Q40" s="7">
        <x:f>IF(O40="","",O40/10*P40)</x:f>
      </x:c>
    </x:row>
    <x:row r="41">
      <x:c r="A41" s="4" t="inlineStr">
        <x:is>
          <x:t xml:space="preserve">D2</x:t>
        </x:is>
      </x:c>
      <x:c r="B41" s="4" t="inlineStr">
        <x:is>
          <x:t xml:space="preserve">Project Fundamentals</x:t>
        </x:is>
      </x:c>
      <x:c r="C41" s="5" t="n">
        <x:v>0.15</x:v>
      </x:c>
      <x:c r="D41" s="4" t="inlineStr">
        <x:is>
          <x:t xml:space="preserve">D2_C3</x:t>
        </x:is>
      </x:c>
      <x:c r="E41" s="4" t="inlineStr">
        <x:is>
          <x:t xml:space="preserve">Permits &amp; Readiness</x:t>
        </x:is>
      </x:c>
      <x:c r="F41" s="5" t="n">
        <x:v>0.25</x:v>
      </x:c>
      <x:c r="G41" s="4" t="inlineStr">
        <x:is>
          <x:t xml:space="preserve">D2_SC7</x:t>
        </x:is>
      </x:c>
      <x:c r="H41" s="4" t="inlineStr">
        <x:is>
          <x:t xml:space="preserve">Authorizations</x:t>
        </x:is>
      </x:c>
      <x:c r="I41" s="5" t="n">
        <x:v>0.6</x:v>
      </x:c>
      <x:c r="J41" s="4" t="inlineStr">
        <x:is>
          <x:t xml:space="preserve">D2_SS19</x:t>
        </x:is>
      </x:c>
      <x:c r="K41" s="4" t="inlineStr">
        <x:is>
          <x:t xml:space="preserve">État des autorisations</x:t>
        </x:is>
      </x:c>
      <x:c r="L41" s="5" t="n">
        <x:v>0.4</x:v>
      </x:c>
      <x:c r="M41" s="4" t="inlineStr">
        <x:is>
          <x:t xml:space="preserve"/>
        </x:is>
      </x:c>
      <x:c r="N41" s="4" t="inlineStr">
        <x:is>
          <x:t xml:space="preserve"/>
        </x:is>
      </x:c>
      <x:c r="O41" s="6" t="n"/>
      <x:c r="P41" s="5">
        <x:f>C41*F41*I41*L41</x:f>
        <x:v>0.009</x:v>
      </x:c>
      <x:c r="Q41" s="7">
        <x:f>IF(O41="","",O41/10*P41)</x:f>
      </x:c>
    </x:row>
    <x:row r="42">
      <x:c r="A42" s="4" t="inlineStr">
        <x:is>
          <x:t xml:space="preserve">D2</x:t>
        </x:is>
      </x:c>
      <x:c r="B42" s="4" t="inlineStr">
        <x:is>
          <x:t xml:space="preserve">Project Fundamentals</x:t>
        </x:is>
      </x:c>
      <x:c r="C42" s="5" t="n">
        <x:v>0.15</x:v>
      </x:c>
      <x:c r="D42" s="4" t="inlineStr">
        <x:is>
          <x:t xml:space="preserve">D2_C3</x:t>
        </x:is>
      </x:c>
      <x:c r="E42" s="4" t="inlineStr">
        <x:is>
          <x:t xml:space="preserve">Permits &amp; Readiness</x:t>
        </x:is>
      </x:c>
      <x:c r="F42" s="5" t="n">
        <x:v>0.25</x:v>
      </x:c>
      <x:c r="G42" s="4" t="inlineStr">
        <x:is>
          <x:t xml:space="preserve">D2_SC7</x:t>
        </x:is>
      </x:c>
      <x:c r="H42" s="4" t="inlineStr">
        <x:is>
          <x:t xml:space="preserve">Authorizations</x:t>
        </x:is>
      </x:c>
      <x:c r="I42" s="5" t="n">
        <x:v>0.6</x:v>
      </x:c>
      <x:c r="J42" s="4" t="inlineStr">
        <x:is>
          <x:t xml:space="preserve">D2_SS20</x:t>
        </x:is>
      </x:c>
      <x:c r="K42" s="4" t="inlineStr">
        <x:is>
          <x:t xml:space="preserve">Risque de recours / contentieux</x:t>
        </x:is>
      </x:c>
      <x:c r="L42" s="5" t="n">
        <x:v>0.35</x:v>
      </x:c>
      <x:c r="M42" s="4" t="inlineStr">
        <x:is>
          <x:t xml:space="preserve"/>
        </x:is>
      </x:c>
      <x:c r="N42" s="4" t="inlineStr">
        <x:is>
          <x:t xml:space="preserve"/>
        </x:is>
      </x:c>
      <x:c r="O42" s="6" t="n"/>
      <x:c r="P42" s="5">
        <x:f>C42*F42*I42*L42</x:f>
        <x:v>0.007875</x:v>
      </x:c>
      <x:c r="Q42" s="7">
        <x:f>IF(O42="","",O42/10*P42)</x:f>
      </x:c>
    </x:row>
    <x:row r="43">
      <x:c r="A43" s="4" t="inlineStr">
        <x:is>
          <x:t xml:space="preserve">D2</x:t>
        </x:is>
      </x:c>
      <x:c r="B43" s="4" t="inlineStr">
        <x:is>
          <x:t xml:space="preserve">Project Fundamentals</x:t>
        </x:is>
      </x:c>
      <x:c r="C43" s="5" t="n">
        <x:v>0.15</x:v>
      </x:c>
      <x:c r="D43" s="4" t="inlineStr">
        <x:is>
          <x:t xml:space="preserve">D2_C3</x:t>
        </x:is>
      </x:c>
      <x:c r="E43" s="4" t="inlineStr">
        <x:is>
          <x:t xml:space="preserve">Permits &amp; Readiness</x:t>
        </x:is>
      </x:c>
      <x:c r="F43" s="5" t="n">
        <x:v>0.25</x:v>
      </x:c>
      <x:c r="G43" s="4" t="inlineStr">
        <x:is>
          <x:t xml:space="preserve">D2_SC7</x:t>
        </x:is>
      </x:c>
      <x:c r="H43" s="4" t="inlineStr">
        <x:is>
          <x:t xml:space="preserve">Authorizations</x:t>
        </x:is>
      </x:c>
      <x:c r="I43" s="5" t="n">
        <x:v>0.6</x:v>
      </x:c>
      <x:c r="J43" s="4" t="inlineStr">
        <x:is>
          <x:t xml:space="preserve">D2_SS21</x:t>
        </x:is>
      </x:c>
      <x:c r="K43" s="4" t="inlineStr">
        <x:is>
          <x:t xml:space="preserve">Calendrier d'obtention restant</x:t>
        </x:is>
      </x:c>
      <x:c r="L43" s="5" t="n">
        <x:v>0.25</x:v>
      </x:c>
      <x:c r="M43" s="4" t="inlineStr">
        <x:is>
          <x:t xml:space="preserve"/>
        </x:is>
      </x:c>
      <x:c r="N43" s="4" t="inlineStr">
        <x:is>
          <x:t xml:space="preserve"/>
        </x:is>
      </x:c>
      <x:c r="O43" s="6" t="n"/>
      <x:c r="P43" s="5">
        <x:f>C43*F43*I43*L43</x:f>
        <x:v>0.005625</x:v>
      </x:c>
      <x:c r="Q43" s="7">
        <x:f>IF(O43="","",O43/10*P43)</x:f>
      </x:c>
    </x:row>
    <x:row r="44">
      <x:c r="A44" s="4" t="inlineStr">
        <x:is>
          <x:t xml:space="preserve">D2</x:t>
        </x:is>
      </x:c>
      <x:c r="B44" s="4" t="inlineStr">
        <x:is>
          <x:t xml:space="preserve">Project Fundamentals</x:t>
        </x:is>
      </x:c>
      <x:c r="C44" s="5" t="n">
        <x:v>0.15</x:v>
      </x:c>
      <x:c r="D44" s="4" t="inlineStr">
        <x:is>
          <x:t xml:space="preserve">D2_C3</x:t>
        </x:is>
      </x:c>
      <x:c r="E44" s="4" t="inlineStr">
        <x:is>
          <x:t xml:space="preserve">Permits &amp; Readiness</x:t>
        </x:is>
      </x:c>
      <x:c r="F44" s="5" t="n">
        <x:v>0.25</x:v>
      </x:c>
      <x:c r="G44" s="4" t="inlineStr">
        <x:is>
          <x:t xml:space="preserve">D2_SC8</x:t>
        </x:is>
      </x:c>
      <x:c r="H44" s="4" t="inlineStr">
        <x:is>
          <x:t xml:space="preserve">Project readiness</x:t>
        </x:is>
      </x:c>
      <x:c r="I44" s="5" t="n">
        <x:v>0.4</x:v>
      </x:c>
      <x:c r="J44" s="4" t="inlineStr">
        <x:is>
          <x:t xml:space="preserve">D2_SS22</x:t>
        </x:is>
      </x:c>
      <x:c r="K44" s="4" t="inlineStr">
        <x:is>
          <x:t xml:space="preserve">Avancement études techniques</x:t>
        </x:is>
      </x:c>
      <x:c r="L44" s="5" t="n">
        <x:v>0.35</x:v>
      </x:c>
      <x:c r="M44" s="4" t="inlineStr">
        <x:is>
          <x:t xml:space="preserve"/>
        </x:is>
      </x:c>
      <x:c r="N44" s="4" t="inlineStr">
        <x:is>
          <x:t xml:space="preserve"/>
        </x:is>
      </x:c>
      <x:c r="O44" s="6" t="n"/>
      <x:c r="P44" s="5">
        <x:f>C44*F44*I44*L44</x:f>
        <x:v>0.0052499999999999995</x:v>
      </x:c>
      <x:c r="Q44" s="7">
        <x:f>IF(O44="","",O44/10*P44)</x:f>
      </x:c>
    </x:row>
    <x:row r="45">
      <x:c r="A45" s="4" t="inlineStr">
        <x:is>
          <x:t xml:space="preserve">D2</x:t>
        </x:is>
      </x:c>
      <x:c r="B45" s="4" t="inlineStr">
        <x:is>
          <x:t xml:space="preserve">Project Fundamentals</x:t>
        </x:is>
      </x:c>
      <x:c r="C45" s="5" t="n">
        <x:v>0.15</x:v>
      </x:c>
      <x:c r="D45" s="4" t="inlineStr">
        <x:is>
          <x:t xml:space="preserve">D2_C3</x:t>
        </x:is>
      </x:c>
      <x:c r="E45" s="4" t="inlineStr">
        <x:is>
          <x:t xml:space="preserve">Permits &amp; Readiness</x:t>
        </x:is>
      </x:c>
      <x:c r="F45" s="5" t="n">
        <x:v>0.25</x:v>
      </x:c>
      <x:c r="G45" s="4" t="inlineStr">
        <x:is>
          <x:t xml:space="preserve">D2_SC8</x:t>
        </x:is>
      </x:c>
      <x:c r="H45" s="4" t="inlineStr">
        <x:is>
          <x:t xml:space="preserve">Project readiness</x:t>
        </x:is>
      </x:c>
      <x:c r="I45" s="5" t="n">
        <x:v>0.4</x:v>
      </x:c>
      <x:c r="J45" s="4" t="inlineStr">
        <x:is>
          <x:t xml:space="preserve">D2_SS23</x:t>
        </x:is>
      </x:c>
      <x:c r="K45" s="4" t="inlineStr">
        <x:is>
          <x:t xml:space="preserve">Qualité budget CAPEX</x:t>
        </x:is>
      </x:c>
      <x:c r="L45" s="5" t="n">
        <x:v>0.35</x:v>
      </x:c>
      <x:c r="M45" s="4" t="inlineStr">
        <x:is>
          <x:t xml:space="preserve"/>
        </x:is>
      </x:c>
      <x:c r="N45" s="4" t="inlineStr">
        <x:is>
          <x:t xml:space="preserve"/>
        </x:is>
      </x:c>
      <x:c r="O45" s="6" t="n"/>
      <x:c r="P45" s="5">
        <x:f>C45*F45*I45*L45</x:f>
        <x:v>0.0052499999999999995</x:v>
      </x:c>
      <x:c r="Q45" s="7">
        <x:f>IF(O45="","",O45/10*P45)</x:f>
      </x:c>
    </x:row>
    <x:row r="46">
      <x:c r="A46" s="4" t="inlineStr">
        <x:is>
          <x:t xml:space="preserve">D2</x:t>
        </x:is>
      </x:c>
      <x:c r="B46" s="4" t="inlineStr">
        <x:is>
          <x:t xml:space="preserve">Project Fundamentals</x:t>
        </x:is>
      </x:c>
      <x:c r="C46" s="5" t="n">
        <x:v>0.15</x:v>
      </x:c>
      <x:c r="D46" s="4" t="inlineStr">
        <x:is>
          <x:t xml:space="preserve">D2_C3</x:t>
        </x:is>
      </x:c>
      <x:c r="E46" s="4" t="inlineStr">
        <x:is>
          <x:t xml:space="preserve">Permits &amp; Readiness</x:t>
        </x:is>
      </x:c>
      <x:c r="F46" s="5" t="n">
        <x:v>0.25</x:v>
      </x:c>
      <x:c r="G46" s="4" t="inlineStr">
        <x:is>
          <x:t xml:space="preserve">D2_SC8</x:t>
        </x:is>
      </x:c>
      <x:c r="H46" s="4" t="inlineStr">
        <x:is>
          <x:t xml:space="preserve">Project readiness</x:t>
        </x:is>
      </x:c>
      <x:c r="I46" s="5" t="n">
        <x:v>0.4</x:v>
      </x:c>
      <x:c r="J46" s="4" t="inlineStr">
        <x:is>
          <x:t xml:space="preserve">D2_SS24</x:t>
        </x:is>
      </x:c>
      <x:c r="K46" s="4" t="inlineStr">
        <x:is>
          <x:t xml:space="preserve">Clarté planning global</x:t>
        </x:is>
      </x:c>
      <x:c r="L46" s="5" t="n">
        <x:v>0.3</x:v>
      </x:c>
      <x:c r="M46" s="4" t="inlineStr">
        <x:is>
          <x:t xml:space="preserve"/>
        </x:is>
      </x:c>
      <x:c r="N46" s="4" t="inlineStr">
        <x:is>
          <x:t xml:space="preserve"/>
        </x:is>
      </x:c>
      <x:c r="O46" s="6" t="n"/>
      <x:c r="P46" s="5">
        <x:f>C46*F46*I46*L46</x:f>
        <x:v>0.0045</x:v>
      </x:c>
      <x:c r="Q46" s="7">
        <x:f>IF(O46="","",O46/10*P46)</x:f>
      </x:c>
    </x:row>
    <x:row r="47">
      <x:c r="A47" s="4" t="inlineStr">
        <x:is>
          <x:t xml:space="preserve">D3</x:t>
        </x:is>
      </x:c>
      <x:c r="B47" s="4" t="inlineStr">
        <x:is>
          <x:t xml:space="preserve">Construction Phase</x:t>
        </x:is>
      </x:c>
      <x:c r="C47" s="5" t="n">
        <x:v>0.15</x:v>
      </x:c>
      <x:c r="D47" s="4" t="inlineStr">
        <x:is>
          <x:t xml:space="preserve">D3_C1</x:t>
        </x:is>
      </x:c>
      <x:c r="E47" s="4" t="inlineStr">
        <x:is>
          <x:t xml:space="preserve">EPC Completion Risk</x:t>
        </x:is>
      </x:c>
      <x:c r="F47" s="5" t="n">
        <x:v>0.45</x:v>
      </x:c>
      <x:c r="G47" s="4" t="inlineStr">
        <x:is>
          <x:t xml:space="preserve">D3_SC1</x:t>
        </x:is>
      </x:c>
      <x:c r="H47" s="4" t="inlineStr">
        <x:is>
          <x:t xml:space="preserve">EPC contract structure</x:t>
        </x:is>
      </x:c>
      <x:c r="I47" s="5" t="n">
        <x:v>0.4</x:v>
      </x:c>
      <x:c r="J47" s="4" t="inlineStr">
        <x:is>
          <x:t xml:space="preserve">D3_SS1</x:t>
        </x:is>
      </x:c>
      <x:c r="K47" s="4" t="inlineStr">
        <x:is>
          <x:t xml:space="preserve">Type de contrat EPC</x:t>
        </x:is>
      </x:c>
      <x:c r="L47" s="5" t="n">
        <x:v>0.35</x:v>
      </x:c>
      <x:c r="M47" s="4" t="inlineStr">
        <x:is>
          <x:t xml:space="preserve"/>
        </x:is>
      </x:c>
      <x:c r="N47" s="4" t="inlineStr">
        <x:is>
          <x:t xml:space="preserve"/>
        </x:is>
      </x:c>
      <x:c r="O47" s="6" t="n"/>
      <x:c r="P47" s="5">
        <x:f>C47*F47*I47*L47</x:f>
        <x:v>0.00945</x:v>
      </x:c>
      <x:c r="Q47" s="7">
        <x:f>IF(O47="","",O47/10*P47)</x:f>
      </x:c>
    </x:row>
    <x:row r="48">
      <x:c r="A48" s="4" t="inlineStr">
        <x:is>
          <x:t xml:space="preserve">D3</x:t>
        </x:is>
      </x:c>
      <x:c r="B48" s="4" t="inlineStr">
        <x:is>
          <x:t xml:space="preserve">Construction Phase</x:t>
        </x:is>
      </x:c>
      <x:c r="C48" s="5" t="n">
        <x:v>0.15</x:v>
      </x:c>
      <x:c r="D48" s="4" t="inlineStr">
        <x:is>
          <x:t xml:space="preserve">D3_C1</x:t>
        </x:is>
      </x:c>
      <x:c r="E48" s="4" t="inlineStr">
        <x:is>
          <x:t xml:space="preserve">EPC Completion Risk</x:t>
        </x:is>
      </x:c>
      <x:c r="F48" s="5" t="n">
        <x:v>0.45</x:v>
      </x:c>
      <x:c r="G48" s="4" t="inlineStr">
        <x:is>
          <x:t xml:space="preserve">D3_SC1</x:t>
        </x:is>
      </x:c>
      <x:c r="H48" s="4" t="inlineStr">
        <x:is>
          <x:t xml:space="preserve">EPC contract structure</x:t>
        </x:is>
      </x:c>
      <x:c r="I48" s="5" t="n">
        <x:v>0.4</x:v>
      </x:c>
      <x:c r="J48" s="4" t="inlineStr">
        <x:is>
          <x:t xml:space="preserve">D3_SS2</x:t>
        </x:is>
      </x:c>
      <x:c r="K48" s="4" t="inlineStr">
        <x:is>
          <x:t xml:space="preserve">Caractère lump sum turnkey</x:t>
        </x:is>
      </x:c>
      <x:c r="L48" s="5" t="n">
        <x:v>0.35</x:v>
      </x:c>
      <x:c r="M48" s="4" t="inlineStr">
        <x:is>
          <x:t xml:space="preserve"/>
        </x:is>
      </x:c>
      <x:c r="N48" s="4" t="inlineStr">
        <x:is>
          <x:t xml:space="preserve"/>
        </x:is>
      </x:c>
      <x:c r="O48" s="6" t="n"/>
      <x:c r="P48" s="5">
        <x:f>C48*F48*I48*L48</x:f>
        <x:v>0.00945</x:v>
      </x:c>
      <x:c r="Q48" s="7">
        <x:f>IF(O48="","",O48/10*P48)</x:f>
      </x:c>
    </x:row>
    <x:row r="49">
      <x:c r="A49" s="4" t="inlineStr">
        <x:is>
          <x:t xml:space="preserve">D3</x:t>
        </x:is>
      </x:c>
      <x:c r="B49" s="4" t="inlineStr">
        <x:is>
          <x:t xml:space="preserve">Construction Phase</x:t>
        </x:is>
      </x:c>
      <x:c r="C49" s="5" t="n">
        <x:v>0.15</x:v>
      </x:c>
      <x:c r="D49" s="4" t="inlineStr">
        <x:is>
          <x:t xml:space="preserve">D3_C1</x:t>
        </x:is>
      </x:c>
      <x:c r="E49" s="4" t="inlineStr">
        <x:is>
          <x:t xml:space="preserve">EPC Completion Risk</x:t>
        </x:is>
      </x:c>
      <x:c r="F49" s="5" t="n">
        <x:v>0.45</x:v>
      </x:c>
      <x:c r="G49" s="4" t="inlineStr">
        <x:is>
          <x:t xml:space="preserve">D3_SC1</x:t>
        </x:is>
      </x:c>
      <x:c r="H49" s="4" t="inlineStr">
        <x:is>
          <x:t xml:space="preserve">EPC contract structure</x:t>
        </x:is>
      </x:c>
      <x:c r="I49" s="5" t="n">
        <x:v>0.4</x:v>
      </x:c>
      <x:c r="J49" s="4" t="inlineStr">
        <x:is>
          <x:t xml:space="preserve">D3_SS3</x:t>
        </x:is>
      </x:c>
      <x:c r="K49" s="4" t="inlineStr">
        <x:is>
          <x:t xml:space="preserve">Clauses de variation / claims</x:t>
        </x:is>
      </x:c>
      <x:c r="L49" s="5" t="n">
        <x:v>0.3</x:v>
      </x:c>
      <x:c r="M49" s="4" t="inlineStr">
        <x:is>
          <x:t xml:space="preserve"/>
        </x:is>
      </x:c>
      <x:c r="N49" s="4" t="inlineStr">
        <x:is>
          <x:t xml:space="preserve"/>
        </x:is>
      </x:c>
      <x:c r="O49" s="6" t="n"/>
      <x:c r="P49" s="5">
        <x:f>C49*F49*I49*L49</x:f>
        <x:v>0.008100000000000001</x:v>
      </x:c>
      <x:c r="Q49" s="7">
        <x:f>IF(O49="","",O49/10*P49)</x:f>
      </x:c>
    </x:row>
    <x:row r="50">
      <x:c r="A50" s="4" t="inlineStr">
        <x:is>
          <x:t xml:space="preserve">D3</x:t>
        </x:is>
      </x:c>
      <x:c r="B50" s="4" t="inlineStr">
        <x:is>
          <x:t xml:space="preserve">Construction Phase</x:t>
        </x:is>
      </x:c>
      <x:c r="C50" s="5" t="n">
        <x:v>0.15</x:v>
      </x:c>
      <x:c r="D50" s="4" t="inlineStr">
        <x:is>
          <x:t xml:space="preserve">D3_C1</x:t>
        </x:is>
      </x:c>
      <x:c r="E50" s="4" t="inlineStr">
        <x:is>
          <x:t xml:space="preserve">EPC Completion Risk</x:t>
        </x:is>
      </x:c>
      <x:c r="F50" s="5" t="n">
        <x:v>0.45</x:v>
      </x:c>
      <x:c r="G50" s="4" t="inlineStr">
        <x:is>
          <x:t xml:space="preserve">D3_SC2</x:t>
        </x:is>
      </x:c>
      <x:c r="H50" s="4" t="inlineStr">
        <x:is>
          <x:t xml:space="preserve">EPC contractor quality</x:t>
        </x:is>
      </x:c>
      <x:c r="I50" s="5" t="n">
        <x:v>0.35</x:v>
      </x:c>
      <x:c r="J50" s="4" t="inlineStr">
        <x:is>
          <x:t xml:space="preserve">D3_SS4</x:t>
        </x:is>
      </x:c>
      <x:c r="K50" s="4" t="inlineStr">
        <x:is>
          <x:t xml:space="preserve">Expérience EPC contractor</x:t>
        </x:is>
      </x:c>
      <x:c r="L50" s="5" t="n">
        <x:v>0.4</x:v>
      </x:c>
      <x:c r="M50" s="4" t="inlineStr">
        <x:is>
          <x:t xml:space="preserve"/>
        </x:is>
      </x:c>
      <x:c r="N50" s="4" t="inlineStr">
        <x:is>
          <x:t xml:space="preserve"/>
        </x:is>
      </x:c>
      <x:c r="O50" s="6" t="n"/>
      <x:c r="P50" s="5">
        <x:f>C50*F50*I50*L50</x:f>
        <x:v>0.00945</x:v>
      </x:c>
      <x:c r="Q50" s="7">
        <x:f>IF(O50="","",O50/10*P50)</x:f>
      </x:c>
    </x:row>
    <x:row r="51">
      <x:c r="A51" s="4" t="inlineStr">
        <x:is>
          <x:t xml:space="preserve">D3</x:t>
        </x:is>
      </x:c>
      <x:c r="B51" s="4" t="inlineStr">
        <x:is>
          <x:t xml:space="preserve">Construction Phase</x:t>
        </x:is>
      </x:c>
      <x:c r="C51" s="5" t="n">
        <x:v>0.15</x:v>
      </x:c>
      <x:c r="D51" s="4" t="inlineStr">
        <x:is>
          <x:t xml:space="preserve">D3_C1</x:t>
        </x:is>
      </x:c>
      <x:c r="E51" s="4" t="inlineStr">
        <x:is>
          <x:t xml:space="preserve">EPC Completion Risk</x:t>
        </x:is>
      </x:c>
      <x:c r="F51" s="5" t="n">
        <x:v>0.45</x:v>
      </x:c>
      <x:c r="G51" s="4" t="inlineStr">
        <x:is>
          <x:t xml:space="preserve">D3_SC2</x:t>
        </x:is>
      </x:c>
      <x:c r="H51" s="4" t="inlineStr">
        <x:is>
          <x:t xml:space="preserve">EPC contractor quality</x:t>
        </x:is>
      </x:c>
      <x:c r="I51" s="5" t="n">
        <x:v>0.35</x:v>
      </x:c>
      <x:c r="J51" s="4" t="inlineStr">
        <x:is>
          <x:t xml:space="preserve">D3_SS5</x:t>
        </x:is>
      </x:c>
      <x:c r="K51" s="4" t="inlineStr">
        <x:is>
          <x:t xml:space="preserve">Solidité financière contractor</x:t>
        </x:is>
      </x:c>
      <x:c r="L51" s="5" t="n">
        <x:v>0.3</x:v>
      </x:c>
      <x:c r="M51" s="4" t="inlineStr">
        <x:is>
          <x:t xml:space="preserve"/>
        </x:is>
      </x:c>
      <x:c r="N51" s="4" t="inlineStr">
        <x:is>
          <x:t xml:space="preserve"/>
        </x:is>
      </x:c>
      <x:c r="O51" s="6" t="n"/>
      <x:c r="P51" s="5">
        <x:f>C51*F51*I51*L51</x:f>
        <x:v>0.0070875</x:v>
      </x:c>
      <x:c r="Q51" s="7">
        <x:f>IF(O51="","",O51/10*P51)</x:f>
      </x:c>
    </x:row>
    <x:row r="52">
      <x:c r="A52" s="4" t="inlineStr">
        <x:is>
          <x:t xml:space="preserve">D3</x:t>
        </x:is>
      </x:c>
      <x:c r="B52" s="4" t="inlineStr">
        <x:is>
          <x:t xml:space="preserve">Construction Phase</x:t>
        </x:is>
      </x:c>
      <x:c r="C52" s="5" t="n">
        <x:v>0.15</x:v>
      </x:c>
      <x:c r="D52" s="4" t="inlineStr">
        <x:is>
          <x:t xml:space="preserve">D3_C1</x:t>
        </x:is>
      </x:c>
      <x:c r="E52" s="4" t="inlineStr">
        <x:is>
          <x:t xml:space="preserve">EPC Completion Risk</x:t>
        </x:is>
      </x:c>
      <x:c r="F52" s="5" t="n">
        <x:v>0.45</x:v>
      </x:c>
      <x:c r="G52" s="4" t="inlineStr">
        <x:is>
          <x:t xml:space="preserve">D3_SC2</x:t>
        </x:is>
      </x:c>
      <x:c r="H52" s="4" t="inlineStr">
        <x:is>
          <x:t xml:space="preserve">EPC contractor quality</x:t>
        </x:is>
      </x:c>
      <x:c r="I52" s="5" t="n">
        <x:v>0.35</x:v>
      </x:c>
      <x:c r="J52" s="4" t="inlineStr">
        <x:is>
          <x:t xml:space="preserve">D3_SS6</x:t>
        </x:is>
      </x:c>
      <x:c r="K52" s="4" t="inlineStr">
        <x:is>
          <x:t xml:space="preserve">Références locales / similaires</x:t>
        </x:is>
      </x:c>
      <x:c r="L52" s="5" t="n">
        <x:v>0.3</x:v>
      </x:c>
      <x:c r="M52" s="4" t="inlineStr">
        <x:is>
          <x:t xml:space="preserve"/>
        </x:is>
      </x:c>
      <x:c r="N52" s="4" t="inlineStr">
        <x:is>
          <x:t xml:space="preserve"/>
        </x:is>
      </x:c>
      <x:c r="O52" s="6" t="n"/>
      <x:c r="P52" s="5">
        <x:f>C52*F52*I52*L52</x:f>
        <x:v>0.0070875</x:v>
      </x:c>
      <x:c r="Q52" s="7">
        <x:f>IF(O52="","",O52/10*P52)</x:f>
      </x:c>
    </x:row>
    <x:row r="53">
      <x:c r="A53" s="4" t="inlineStr">
        <x:is>
          <x:t xml:space="preserve">D3</x:t>
        </x:is>
      </x:c>
      <x:c r="B53" s="4" t="inlineStr">
        <x:is>
          <x:t xml:space="preserve">Construction Phase</x:t>
        </x:is>
      </x:c>
      <x:c r="C53" s="5" t="n">
        <x:v>0.15</x:v>
      </x:c>
      <x:c r="D53" s="4" t="inlineStr">
        <x:is>
          <x:t xml:space="preserve">D3_C1</x:t>
        </x:is>
      </x:c>
      <x:c r="E53" s="4" t="inlineStr">
        <x:is>
          <x:t xml:space="preserve">EPC Completion Risk</x:t>
        </x:is>
      </x:c>
      <x:c r="F53" s="5" t="n">
        <x:v>0.45</x:v>
      </x:c>
      <x:c r="G53" s="4" t="inlineStr">
        <x:is>
          <x:t xml:space="preserve">D3_SC3</x:t>
        </x:is>
      </x:c>
      <x:c r="H53" s="4" t="inlineStr">
        <x:is>
          <x:t xml:space="preserve">Completion support</x:t>
        </x:is>
      </x:c>
      <x:c r="I53" s="5" t="n">
        <x:v>0.25</x:v>
      </x:c>
      <x:c r="J53" s="4" t="inlineStr">
        <x:is>
          <x:t xml:space="preserve">D3_SS7</x:t>
        </x:is>
      </x:c>
      <x:c r="K53" s="4" t="inlineStr">
        <x:is>
          <x:t xml:space="preserve">Garanties de bonne fin</x:t>
        </x:is>
      </x:c>
      <x:c r="L53" s="5" t="n">
        <x:v>0.4</x:v>
      </x:c>
      <x:c r="M53" s="4" t="inlineStr">
        <x:is>
          <x:t xml:space="preserve"/>
        </x:is>
      </x:c>
      <x:c r="N53" s="4" t="inlineStr">
        <x:is>
          <x:t xml:space="preserve"/>
        </x:is>
      </x:c>
      <x:c r="O53" s="6" t="n"/>
      <x:c r="P53" s="5">
        <x:f>C53*F53*I53*L53</x:f>
        <x:v>0.006750000000000001</x:v>
      </x:c>
      <x:c r="Q53" s="7">
        <x:f>IF(O53="","",O53/10*P53)</x:f>
      </x:c>
    </x:row>
    <x:row r="54">
      <x:c r="A54" s="4" t="inlineStr">
        <x:is>
          <x:t xml:space="preserve">D3</x:t>
        </x:is>
      </x:c>
      <x:c r="B54" s="4" t="inlineStr">
        <x:is>
          <x:t xml:space="preserve">Construction Phase</x:t>
        </x:is>
      </x:c>
      <x:c r="C54" s="5" t="n">
        <x:v>0.15</x:v>
      </x:c>
      <x:c r="D54" s="4" t="inlineStr">
        <x:is>
          <x:t xml:space="preserve">D3_C1</x:t>
        </x:is>
      </x:c>
      <x:c r="E54" s="4" t="inlineStr">
        <x:is>
          <x:t xml:space="preserve">EPC Completion Risk</x:t>
        </x:is>
      </x:c>
      <x:c r="F54" s="5" t="n">
        <x:v>0.45</x:v>
      </x:c>
      <x:c r="G54" s="4" t="inlineStr">
        <x:is>
          <x:t xml:space="preserve">D3_SC3</x:t>
        </x:is>
      </x:c>
      <x:c r="H54" s="4" t="inlineStr">
        <x:is>
          <x:t xml:space="preserve">Completion support</x:t>
        </x:is>
      </x:c>
      <x:c r="I54" s="5" t="n">
        <x:v>0.25</x:v>
      </x:c>
      <x:c r="J54" s="4" t="inlineStr">
        <x:is>
          <x:t xml:space="preserve">D3_SS8</x:t>
        </x:is>
      </x:c>
      <x:c r="K54" s="4" t="inlineStr">
        <x:is>
          <x:t xml:space="preserve">LDs délai/performance</x:t>
        </x:is>
      </x:c>
      <x:c r="L54" s="5" t="n">
        <x:v>0.35</x:v>
      </x:c>
      <x:c r="M54" s="4" t="inlineStr">
        <x:is>
          <x:t xml:space="preserve"/>
        </x:is>
      </x:c>
      <x:c r="N54" s="4" t="inlineStr">
        <x:is>
          <x:t xml:space="preserve"/>
        </x:is>
      </x:c>
      <x:c r="O54" s="6" t="n"/>
      <x:c r="P54" s="5">
        <x:f>C54*F54*I54*L54</x:f>
        <x:v>0.00590625</x:v>
      </x:c>
      <x:c r="Q54" s="7">
        <x:f>IF(O54="","",O54/10*P54)</x:f>
      </x:c>
    </x:row>
    <x:row r="55">
      <x:c r="A55" s="4" t="inlineStr">
        <x:is>
          <x:t xml:space="preserve">D3</x:t>
        </x:is>
      </x:c>
      <x:c r="B55" s="4" t="inlineStr">
        <x:is>
          <x:t xml:space="preserve">Construction Phase</x:t>
        </x:is>
      </x:c>
      <x:c r="C55" s="5" t="n">
        <x:v>0.15</x:v>
      </x:c>
      <x:c r="D55" s="4" t="inlineStr">
        <x:is>
          <x:t xml:space="preserve">D3_C1</x:t>
        </x:is>
      </x:c>
      <x:c r="E55" s="4" t="inlineStr">
        <x:is>
          <x:t xml:space="preserve">EPC Completion Risk</x:t>
        </x:is>
      </x:c>
      <x:c r="F55" s="5" t="n">
        <x:v>0.45</x:v>
      </x:c>
      <x:c r="G55" s="4" t="inlineStr">
        <x:is>
          <x:t xml:space="preserve">D3_SC3</x:t>
        </x:is>
      </x:c>
      <x:c r="H55" s="4" t="inlineStr">
        <x:is>
          <x:t xml:space="preserve">Completion support</x:t>
        </x:is>
      </x:c>
      <x:c r="I55" s="5" t="n">
        <x:v>0.25</x:v>
      </x:c>
      <x:c r="J55" s="4" t="inlineStr">
        <x:is>
          <x:t xml:space="preserve">D3_SS9</x:t>
        </x:is>
      </x:c>
      <x:c r="K55" s="4" t="inlineStr">
        <x:is>
          <x:t xml:space="preserve">Tests d'acceptation / completion tests</x:t>
        </x:is>
      </x:c>
      <x:c r="L55" s="5" t="n">
        <x:v>0.25</x:v>
      </x:c>
      <x:c r="M55" s="4" t="inlineStr">
        <x:is>
          <x:t xml:space="preserve"/>
        </x:is>
      </x:c>
      <x:c r="N55" s="4" t="inlineStr">
        <x:is>
          <x:t xml:space="preserve"/>
        </x:is>
      </x:c>
      <x:c r="O55" s="6" t="n"/>
      <x:c r="P55" s="5">
        <x:f>C55*F55*I55*L55</x:f>
        <x:v>0.00421875</x:v>
      </x:c>
      <x:c r="Q55" s="7">
        <x:f>IF(O55="","",O55/10*P55)</x:f>
      </x:c>
    </x:row>
    <x:row r="56">
      <x:c r="A56" s="4" t="inlineStr">
        <x:is>
          <x:t xml:space="preserve">D3</x:t>
        </x:is>
      </x:c>
      <x:c r="B56" s="4" t="inlineStr">
        <x:is>
          <x:t xml:space="preserve">Construction Phase</x:t>
        </x:is>
      </x:c>
      <x:c r="C56" s="5" t="n">
        <x:v>0.15</x:v>
      </x:c>
      <x:c r="D56" s="4" t="inlineStr">
        <x:is>
          <x:t xml:space="preserve">D3_C2</x:t>
        </x:is>
      </x:c>
      <x:c r="E56" s="4" t="inlineStr">
        <x:is>
          <x:t xml:space="preserve">Execution &amp; Interface Risk</x:t>
        </x:is>
      </x:c>
      <x:c r="F56" s="5" t="n">
        <x:v>0.35</x:v>
      </x:c>
      <x:c r="G56" s="4" t="inlineStr">
        <x:is>
          <x:t xml:space="preserve">D3_SC4</x:t>
        </x:is>
      </x:c>
      <x:c r="H56" s="4" t="inlineStr">
        <x:is>
          <x:t xml:space="preserve">Schedule risk</x:t>
        </x:is>
      </x:c>
      <x:c r="I56" s="5" t="n">
        <x:v>0.35</x:v>
      </x:c>
      <x:c r="J56" s="4" t="inlineStr">
        <x:is>
          <x:t xml:space="preserve">D3_SS10</x:t>
        </x:is>
      </x:c>
      <x:c r="K56" s="4" t="inlineStr">
        <x:is>
          <x:t xml:space="preserve">Réalisme planning</x:t>
        </x:is>
      </x:c>
      <x:c r="L56" s="5" t="n">
        <x:v>0.4</x:v>
      </x:c>
      <x:c r="M56" s="4" t="inlineStr">
        <x:is>
          <x:t xml:space="preserve"/>
        </x:is>
      </x:c>
      <x:c r="N56" s="4" t="inlineStr">
        <x:is>
          <x:t xml:space="preserve"/>
        </x:is>
      </x:c>
      <x:c r="O56" s="6" t="n"/>
      <x:c r="P56" s="5">
        <x:f>C56*F56*I56*L56</x:f>
        <x:v>0.00735</x:v>
      </x:c>
      <x:c r="Q56" s="7">
        <x:f>IF(O56="","",O56/10*P56)</x:f>
      </x:c>
    </x:row>
    <x:row r="57">
      <x:c r="A57" s="4" t="inlineStr">
        <x:is>
          <x:t xml:space="preserve">D3</x:t>
        </x:is>
      </x:c>
      <x:c r="B57" s="4" t="inlineStr">
        <x:is>
          <x:t xml:space="preserve">Construction Phase</x:t>
        </x:is>
      </x:c>
      <x:c r="C57" s="5" t="n">
        <x:v>0.15</x:v>
      </x:c>
      <x:c r="D57" s="4" t="inlineStr">
        <x:is>
          <x:t xml:space="preserve">D3_C2</x:t>
        </x:is>
      </x:c>
      <x:c r="E57" s="4" t="inlineStr">
        <x:is>
          <x:t xml:space="preserve">Execution &amp; Interface Risk</x:t>
        </x:is>
      </x:c>
      <x:c r="F57" s="5" t="n">
        <x:v>0.35</x:v>
      </x:c>
      <x:c r="G57" s="4" t="inlineStr">
        <x:is>
          <x:t xml:space="preserve">D3_SC4</x:t>
        </x:is>
      </x:c>
      <x:c r="H57" s="4" t="inlineStr">
        <x:is>
          <x:t xml:space="preserve">Schedule risk</x:t>
        </x:is>
      </x:c>
      <x:c r="I57" s="5" t="n">
        <x:v>0.35</x:v>
      </x:c>
      <x:c r="J57" s="4" t="inlineStr">
        <x:is>
          <x:t xml:space="preserve">D3_SS11</x:t>
        </x:is>
      </x:c>
      <x:c r="K57" s="4" t="inlineStr">
        <x:is>
          <x:t xml:space="preserve">Chemin critique</x:t>
        </x:is>
      </x:c>
      <x:c r="L57" s="5" t="n">
        <x:v>0.35</x:v>
      </x:c>
      <x:c r="M57" s="4" t="inlineStr">
        <x:is>
          <x:t xml:space="preserve"/>
        </x:is>
      </x:c>
      <x:c r="N57" s="4" t="inlineStr">
        <x:is>
          <x:t xml:space="preserve"/>
        </x:is>
      </x:c>
      <x:c r="O57" s="6" t="n"/>
      <x:c r="P57" s="5">
        <x:f>C57*F57*I57*L57</x:f>
        <x:v>0.0064312499999999995</x:v>
      </x:c>
      <x:c r="Q57" s="7">
        <x:f>IF(O57="","",O57/10*P57)</x:f>
      </x:c>
    </x:row>
    <x:row r="58">
      <x:c r="A58" s="4" t="inlineStr">
        <x:is>
          <x:t xml:space="preserve">D3</x:t>
        </x:is>
      </x:c>
      <x:c r="B58" s="4" t="inlineStr">
        <x:is>
          <x:t xml:space="preserve">Construction Phase</x:t>
        </x:is>
      </x:c>
      <x:c r="C58" s="5" t="n">
        <x:v>0.15</x:v>
      </x:c>
      <x:c r="D58" s="4" t="inlineStr">
        <x:is>
          <x:t xml:space="preserve">D3_C2</x:t>
        </x:is>
      </x:c>
      <x:c r="E58" s="4" t="inlineStr">
        <x:is>
          <x:t xml:space="preserve">Execution &amp; Interface Risk</x:t>
        </x:is>
      </x:c>
      <x:c r="F58" s="5" t="n">
        <x:v>0.35</x:v>
      </x:c>
      <x:c r="G58" s="4" t="inlineStr">
        <x:is>
          <x:t xml:space="preserve">D3_SC4</x:t>
        </x:is>
      </x:c>
      <x:c r="H58" s="4" t="inlineStr">
        <x:is>
          <x:t xml:space="preserve">Schedule risk</x:t>
        </x:is>
      </x:c>
      <x:c r="I58" s="5" t="n">
        <x:v>0.35</x:v>
      </x:c>
      <x:c r="J58" s="4" t="inlineStr">
        <x:is>
          <x:t xml:space="preserve">D3_SS12</x:t>
        </x:is>
      </x:c>
      <x:c r="K58" s="4" t="inlineStr">
        <x:is>
          <x:t xml:space="preserve">Buffers / contingences temps</x:t>
        </x:is>
      </x:c>
      <x:c r="L58" s="5" t="n">
        <x:v>0.25</x:v>
      </x:c>
      <x:c r="M58" s="4" t="inlineStr">
        <x:is>
          <x:t xml:space="preserve"/>
        </x:is>
      </x:c>
      <x:c r="N58" s="4" t="inlineStr">
        <x:is>
          <x:t xml:space="preserve"/>
        </x:is>
      </x:c>
      <x:c r="O58" s="6" t="n"/>
      <x:c r="P58" s="5">
        <x:f>C58*F58*I58*L58</x:f>
        <x:v>0.00459375</x:v>
      </x:c>
      <x:c r="Q58" s="7">
        <x:f>IF(O58="","",O58/10*P58)</x:f>
      </x:c>
    </x:row>
    <x:row r="59">
      <x:c r="A59" s="4" t="inlineStr">
        <x:is>
          <x:t xml:space="preserve">D3</x:t>
        </x:is>
      </x:c>
      <x:c r="B59" s="4" t="inlineStr">
        <x:is>
          <x:t xml:space="preserve">Construction Phase</x:t>
        </x:is>
      </x:c>
      <x:c r="C59" s="5" t="n">
        <x:v>0.15</x:v>
      </x:c>
      <x:c r="D59" s="4" t="inlineStr">
        <x:is>
          <x:t xml:space="preserve">D3_C2</x:t>
        </x:is>
      </x:c>
      <x:c r="E59" s="4" t="inlineStr">
        <x:is>
          <x:t xml:space="preserve">Execution &amp; Interface Risk</x:t>
        </x:is>
      </x:c>
      <x:c r="F59" s="5" t="n">
        <x:v>0.35</x:v>
      </x:c>
      <x:c r="G59" s="4" t="inlineStr">
        <x:is>
          <x:t xml:space="preserve">D3_SC5</x:t>
        </x:is>
      </x:c>
      <x:c r="H59" s="4" t="inlineStr">
        <x:is>
          <x:t xml:space="preserve">Cost overrun risk</x:t>
        </x:is>
      </x:c>
      <x:c r="I59" s="5" t="n">
        <x:v>0.35</x:v>
      </x:c>
      <x:c r="J59" s="4" t="inlineStr">
        <x:is>
          <x:t xml:space="preserve">D3_SS13</x:t>
        </x:is>
      </x:c>
      <x:c r="K59" s="4" t="inlineStr">
        <x:is>
          <x:t xml:space="preserve">Provision contingence CAPEX</x:t>
        </x:is>
      </x:c>
      <x:c r="L59" s="5" t="n">
        <x:v>0.35</x:v>
      </x:c>
      <x:c r="M59" s="4" t="inlineStr">
        <x:is>
          <x:t xml:space="preserve"/>
        </x:is>
      </x:c>
      <x:c r="N59" s="4" t="inlineStr">
        <x:is>
          <x:t xml:space="preserve"/>
        </x:is>
      </x:c>
      <x:c r="O59" s="6" t="n"/>
      <x:c r="P59" s="5">
        <x:f>C59*F59*I59*L59</x:f>
        <x:v>0.0064312499999999995</x:v>
      </x:c>
      <x:c r="Q59" s="7">
        <x:f>IF(O59="","",O59/10*P59)</x:f>
      </x:c>
    </x:row>
    <x:row r="60">
      <x:c r="A60" s="4" t="inlineStr">
        <x:is>
          <x:t xml:space="preserve">D3</x:t>
        </x:is>
      </x:c>
      <x:c r="B60" s="4" t="inlineStr">
        <x:is>
          <x:t xml:space="preserve">Construction Phase</x:t>
        </x:is>
      </x:c>
      <x:c r="C60" s="5" t="n">
        <x:v>0.15</x:v>
      </x:c>
      <x:c r="D60" s="4" t="inlineStr">
        <x:is>
          <x:t xml:space="preserve">D3_C2</x:t>
        </x:is>
      </x:c>
      <x:c r="E60" s="4" t="inlineStr">
        <x:is>
          <x:t xml:space="preserve">Execution &amp; Interface Risk</x:t>
        </x:is>
      </x:c>
      <x:c r="F60" s="5" t="n">
        <x:v>0.35</x:v>
      </x:c>
      <x:c r="G60" s="4" t="inlineStr">
        <x:is>
          <x:t xml:space="preserve">D3_SC5</x:t>
        </x:is>
      </x:c>
      <x:c r="H60" s="4" t="inlineStr">
        <x:is>
          <x:t xml:space="preserve">Cost overrun risk</x:t>
        </x:is>
      </x:c>
      <x:c r="I60" s="5" t="n">
        <x:v>0.35</x:v>
      </x:c>
      <x:c r="J60" s="4" t="inlineStr">
        <x:is>
          <x:t xml:space="preserve">D3_SS14</x:t>
        </x:is>
      </x:c>
      <x:c r="K60" s="4" t="inlineStr">
        <x:is>
          <x:t xml:space="preserve">Mécanismes de couverture surcoûts</x:t>
        </x:is>
      </x:c>
      <x:c r="L60" s="5" t="n">
        <x:v>0.35</x:v>
      </x:c>
      <x:c r="M60" s="4" t="inlineStr">
        <x:is>
          <x:t xml:space="preserve"/>
        </x:is>
      </x:c>
      <x:c r="N60" s="4" t="inlineStr">
        <x:is>
          <x:t xml:space="preserve"/>
        </x:is>
      </x:c>
      <x:c r="O60" s="6" t="n"/>
      <x:c r="P60" s="5">
        <x:f>C60*F60*I60*L60</x:f>
        <x:v>0.0064312499999999995</x:v>
      </x:c>
      <x:c r="Q60" s="7">
        <x:f>IF(O60="","",O60/10*P60)</x:f>
      </x:c>
    </x:row>
    <x:row r="61">
      <x:c r="A61" s="4" t="inlineStr">
        <x:is>
          <x:t xml:space="preserve">D3</x:t>
        </x:is>
      </x:c>
      <x:c r="B61" s="4" t="inlineStr">
        <x:is>
          <x:t xml:space="preserve">Construction Phase</x:t>
        </x:is>
      </x:c>
      <x:c r="C61" s="5" t="n">
        <x:v>0.15</x:v>
      </x:c>
      <x:c r="D61" s="4" t="inlineStr">
        <x:is>
          <x:t xml:space="preserve">D3_C2</x:t>
        </x:is>
      </x:c>
      <x:c r="E61" s="4" t="inlineStr">
        <x:is>
          <x:t xml:space="preserve">Execution &amp; Interface Risk</x:t>
        </x:is>
      </x:c>
      <x:c r="F61" s="5" t="n">
        <x:v>0.35</x:v>
      </x:c>
      <x:c r="G61" s="4" t="inlineStr">
        <x:is>
          <x:t xml:space="preserve">D3_SC5</x:t>
        </x:is>
      </x:c>
      <x:c r="H61" s="4" t="inlineStr">
        <x:is>
          <x:t xml:space="preserve">Cost overrun risk</x:t>
        </x:is>
      </x:c>
      <x:c r="I61" s="5" t="n">
        <x:v>0.35</x:v>
      </x:c>
      <x:c r="J61" s="4" t="inlineStr">
        <x:is>
          <x:t xml:space="preserve">D3_SS15</x:t>
        </x:is>
      </x:c>
      <x:c r="K61" s="4" t="inlineStr">
        <x:is>
          <x:t xml:space="preserve">Robustesse estimation coûts</x:t>
        </x:is>
      </x:c>
      <x:c r="L61" s="5" t="n">
        <x:v>0.3</x:v>
      </x:c>
      <x:c r="M61" s="4" t="inlineStr">
        <x:is>
          <x:t xml:space="preserve"/>
        </x:is>
      </x:c>
      <x:c r="N61" s="4" t="inlineStr">
        <x:is>
          <x:t xml:space="preserve"/>
        </x:is>
      </x:c>
      <x:c r="O61" s="6" t="n"/>
      <x:c r="P61" s="5">
        <x:f>C61*F61*I61*L61</x:f>
        <x:v>0.005512499999999999</x:v>
      </x:c>
      <x:c r="Q61" s="7">
        <x:f>IF(O61="","",O61/10*P61)</x:f>
      </x:c>
    </x:row>
    <x:row r="62">
      <x:c r="A62" s="4" t="inlineStr">
        <x:is>
          <x:t xml:space="preserve">D3</x:t>
        </x:is>
      </x:c>
      <x:c r="B62" s="4" t="inlineStr">
        <x:is>
          <x:t xml:space="preserve">Construction Phase</x:t>
        </x:is>
      </x:c>
      <x:c r="C62" s="5" t="n">
        <x:v>0.15</x:v>
      </x:c>
      <x:c r="D62" s="4" t="inlineStr">
        <x:is>
          <x:t xml:space="preserve">D3_C2</x:t>
        </x:is>
      </x:c>
      <x:c r="E62" s="4" t="inlineStr">
        <x:is>
          <x:t xml:space="preserve">Execution &amp; Interface Risk</x:t>
        </x:is>
      </x:c>
      <x:c r="F62" s="5" t="n">
        <x:v>0.35</x:v>
      </x:c>
      <x:c r="G62" s="4" t="inlineStr">
        <x:is>
          <x:t xml:space="preserve">D3_SC6</x:t>
        </x:is>
      </x:c>
      <x:c r="H62" s="4" t="inlineStr">
        <x:is>
          <x:t xml:space="preserve">Interfaces &amp; supply chain</x:t>
        </x:is>
      </x:c>
      <x:c r="I62" s="5" t="n">
        <x:v>0.3</x:v>
      </x:c>
      <x:c r="J62" s="4" t="inlineStr">
        <x:is>
          <x:t xml:space="preserve">D3_SS16</x:t>
        </x:is>
      </x:c>
      <x:c r="K62" s="4" t="inlineStr">
        <x:is>
          <x:t xml:space="preserve">Gestion interfaces techniques</x:t>
        </x:is>
      </x:c>
      <x:c r="L62" s="5" t="n">
        <x:v>0.4</x:v>
      </x:c>
      <x:c r="M62" s="4" t="inlineStr">
        <x:is>
          <x:t xml:space="preserve"/>
        </x:is>
      </x:c>
      <x:c r="N62" s="4" t="inlineStr">
        <x:is>
          <x:t xml:space="preserve"/>
        </x:is>
      </x:c>
      <x:c r="O62" s="6" t="n"/>
      <x:c r="P62" s="5">
        <x:f>C62*F62*I62*L62</x:f>
        <x:v>0.0063</x:v>
      </x:c>
      <x:c r="Q62" s="7">
        <x:f>IF(O62="","",O62/10*P62)</x:f>
      </x:c>
    </x:row>
    <x:row r="63">
      <x:c r="A63" s="4" t="inlineStr">
        <x:is>
          <x:t xml:space="preserve">D3</x:t>
        </x:is>
      </x:c>
      <x:c r="B63" s="4" t="inlineStr">
        <x:is>
          <x:t xml:space="preserve">Construction Phase</x:t>
        </x:is>
      </x:c>
      <x:c r="C63" s="5" t="n">
        <x:v>0.15</x:v>
      </x:c>
      <x:c r="D63" s="4" t="inlineStr">
        <x:is>
          <x:t xml:space="preserve">D3_C2</x:t>
        </x:is>
      </x:c>
      <x:c r="E63" s="4" t="inlineStr">
        <x:is>
          <x:t xml:space="preserve">Execution &amp; Interface Risk</x:t>
        </x:is>
      </x:c>
      <x:c r="F63" s="5" t="n">
        <x:v>0.35</x:v>
      </x:c>
      <x:c r="G63" s="4" t="inlineStr">
        <x:is>
          <x:t xml:space="preserve">D3_SC6</x:t>
        </x:is>
      </x:c>
      <x:c r="H63" s="4" t="inlineStr">
        <x:is>
          <x:t xml:space="preserve">Interfaces &amp; supply chain</x:t>
        </x:is>
      </x:c>
      <x:c r="I63" s="5" t="n">
        <x:v>0.3</x:v>
      </x:c>
      <x:c r="J63" s="4" t="inlineStr">
        <x:is>
          <x:t xml:space="preserve">D3_SS17</x:t>
        </x:is>
      </x:c>
      <x:c r="K63" s="4" t="inlineStr">
        <x:is>
          <x:t xml:space="preserve">Fiabilité chaîne d'approvisionnement</x:t>
        </x:is>
      </x:c>
      <x:c r="L63" s="5" t="n">
        <x:v>0.3</x:v>
      </x:c>
      <x:c r="M63" s="4" t="inlineStr">
        <x:is>
          <x:t xml:space="preserve"/>
        </x:is>
      </x:c>
      <x:c r="N63" s="4" t="inlineStr">
        <x:is>
          <x:t xml:space="preserve"/>
        </x:is>
      </x:c>
      <x:c r="O63" s="6" t="n"/>
      <x:c r="P63" s="5">
        <x:f>C63*F63*I63*L63</x:f>
        <x:v>0.004725</x:v>
      </x:c>
      <x:c r="Q63" s="7">
        <x:f>IF(O63="","",O63/10*P63)</x:f>
      </x:c>
    </x:row>
    <x:row r="64">
      <x:c r="A64" s="4" t="inlineStr">
        <x:is>
          <x:t xml:space="preserve">D3</x:t>
        </x:is>
      </x:c>
      <x:c r="B64" s="4" t="inlineStr">
        <x:is>
          <x:t xml:space="preserve">Construction Phase</x:t>
        </x:is>
      </x:c>
      <x:c r="C64" s="5" t="n">
        <x:v>0.15</x:v>
      </x:c>
      <x:c r="D64" s="4" t="inlineStr">
        <x:is>
          <x:t xml:space="preserve">D3_C2</x:t>
        </x:is>
      </x:c>
      <x:c r="E64" s="4" t="inlineStr">
        <x:is>
          <x:t xml:space="preserve">Execution &amp; Interface Risk</x:t>
        </x:is>
      </x:c>
      <x:c r="F64" s="5" t="n">
        <x:v>0.35</x:v>
      </x:c>
      <x:c r="G64" s="4" t="inlineStr">
        <x:is>
          <x:t xml:space="preserve">D3_SC6</x:t>
        </x:is>
      </x:c>
      <x:c r="H64" s="4" t="inlineStr">
        <x:is>
          <x:t xml:space="preserve">Interfaces &amp; supply chain</x:t>
        </x:is>
      </x:c>
      <x:c r="I64" s="5" t="n">
        <x:v>0.3</x:v>
      </x:c>
      <x:c r="J64" s="4" t="inlineStr">
        <x:is>
          <x:t xml:space="preserve">D3_SS18</x:t>
        </x:is>
      </x:c>
      <x:c r="K64" s="4" t="inlineStr">
        <x:is>
          <x:t xml:space="preserve">Risque import / douane / logistique</x:t>
        </x:is>
      </x:c>
      <x:c r="L64" s="5" t="n">
        <x:v>0.3</x:v>
      </x:c>
      <x:c r="M64" s="4" t="inlineStr">
        <x:is>
          <x:t xml:space="preserve"/>
        </x:is>
      </x:c>
      <x:c r="N64" s="4" t="inlineStr">
        <x:is>
          <x:t xml:space="preserve"/>
        </x:is>
      </x:c>
      <x:c r="O64" s="6" t="n"/>
      <x:c r="P64" s="5">
        <x:f>C64*F64*I64*L64</x:f>
        <x:v>0.004725</x:v>
      </x:c>
      <x:c r="Q64" s="7">
        <x:f>IF(O64="","",O64/10*P64)</x:f>
      </x:c>
    </x:row>
    <x:row r="65">
      <x:c r="A65" s="4" t="inlineStr">
        <x:is>
          <x:t xml:space="preserve">D3</x:t>
        </x:is>
      </x:c>
      <x:c r="B65" s="4" t="inlineStr">
        <x:is>
          <x:t xml:space="preserve">Construction Phase</x:t>
        </x:is>
      </x:c>
      <x:c r="C65" s="5" t="n">
        <x:v>0.15</x:v>
      </x:c>
      <x:c r="D65" s="4" t="inlineStr">
        <x:is>
          <x:t xml:space="preserve">D3_C3</x:t>
        </x:is>
      </x:c>
      <x:c r="E65" s="4" t="inlineStr">
        <x:is>
          <x:t xml:space="preserve">Insurance &amp; HSE During Construction</x:t>
        </x:is>
      </x:c>
      <x:c r="F65" s="5" t="n">
        <x:v>0.2</x:v>
      </x:c>
      <x:c r="G65" s="4" t="inlineStr">
        <x:is>
          <x:t xml:space="preserve">D3_SC7</x:t>
        </x:is>
      </x:c>
      <x:c r="H65" s="4" t="inlineStr">
        <x:is>
          <x:t xml:space="preserve">Insurance</x:t>
        </x:is>
      </x:c>
      <x:c r="I65" s="5" t="n">
        <x:v>0.5</x:v>
      </x:c>
      <x:c r="J65" s="4" t="inlineStr">
        <x:is>
          <x:t xml:space="preserve">D3_SS19</x:t>
        </x:is>
      </x:c>
      <x:c r="K65" s="4" t="inlineStr">
        <x:is>
          <x:t xml:space="preserve">Couverture CAR/EAR</x:t>
        </x:is>
      </x:c>
      <x:c r="L65" s="5" t="n">
        <x:v>0.4</x:v>
      </x:c>
      <x:c r="M65" s="4" t="inlineStr">
        <x:is>
          <x:t xml:space="preserve"/>
        </x:is>
      </x:c>
      <x:c r="N65" s="4" t="inlineStr">
        <x:is>
          <x:t xml:space="preserve"/>
        </x:is>
      </x:c>
      <x:c r="O65" s="6" t="n"/>
      <x:c r="P65" s="5">
        <x:f>C65*F65*I65*L65</x:f>
        <x:v>0.006</x:v>
      </x:c>
      <x:c r="Q65" s="7">
        <x:f>IF(O65="","",O65/10*P65)</x:f>
      </x:c>
    </x:row>
    <x:row r="66">
      <x:c r="A66" s="4" t="inlineStr">
        <x:is>
          <x:t xml:space="preserve">D3</x:t>
        </x:is>
      </x:c>
      <x:c r="B66" s="4" t="inlineStr">
        <x:is>
          <x:t xml:space="preserve">Construction Phase</x:t>
        </x:is>
      </x:c>
      <x:c r="C66" s="5" t="n">
        <x:v>0.15</x:v>
      </x:c>
      <x:c r="D66" s="4" t="inlineStr">
        <x:is>
          <x:t xml:space="preserve">D3_C3</x:t>
        </x:is>
      </x:c>
      <x:c r="E66" s="4" t="inlineStr">
        <x:is>
          <x:t xml:space="preserve">Insurance &amp; HSE During Construction</x:t>
        </x:is>
      </x:c>
      <x:c r="F66" s="5" t="n">
        <x:v>0.2</x:v>
      </x:c>
      <x:c r="G66" s="4" t="inlineStr">
        <x:is>
          <x:t xml:space="preserve">D3_SC7</x:t>
        </x:is>
      </x:c>
      <x:c r="H66" s="4" t="inlineStr">
        <x:is>
          <x:t xml:space="preserve">Insurance</x:t>
        </x:is>
      </x:c>
      <x:c r="I66" s="5" t="n">
        <x:v>0.5</x:v>
      </x:c>
      <x:c r="J66" s="4" t="inlineStr">
        <x:is>
          <x:t xml:space="preserve">D3_SS20</x:t>
        </x:is>
      </x:c>
      <x:c r="K66" s="4" t="inlineStr">
        <x:is>
          <x:t xml:space="preserve">Adéquation plafonds / exclusions</x:t>
        </x:is>
      </x:c>
      <x:c r="L66" s="5" t="n">
        <x:v>0.35</x:v>
      </x:c>
      <x:c r="M66" s="4" t="inlineStr">
        <x:is>
          <x:t xml:space="preserve"/>
        </x:is>
      </x:c>
      <x:c r="N66" s="4" t="inlineStr">
        <x:is>
          <x:t xml:space="preserve"/>
        </x:is>
      </x:c>
      <x:c r="O66" s="6" t="n"/>
      <x:c r="P66" s="5">
        <x:f>C66*F66*I66*L66</x:f>
        <x:v>0.0052499999999999995</x:v>
      </x:c>
      <x:c r="Q66" s="7">
        <x:f>IF(O66="","",O66/10*P66)</x:f>
      </x:c>
    </x:row>
    <x:row r="67">
      <x:c r="A67" s="4" t="inlineStr">
        <x:is>
          <x:t xml:space="preserve">D3</x:t>
        </x:is>
      </x:c>
      <x:c r="B67" s="4" t="inlineStr">
        <x:is>
          <x:t xml:space="preserve">Construction Phase</x:t>
        </x:is>
      </x:c>
      <x:c r="C67" s="5" t="n">
        <x:v>0.15</x:v>
      </x:c>
      <x:c r="D67" s="4" t="inlineStr">
        <x:is>
          <x:t xml:space="preserve">D3_C3</x:t>
        </x:is>
      </x:c>
      <x:c r="E67" s="4" t="inlineStr">
        <x:is>
          <x:t xml:space="preserve">Insurance &amp; HSE During Construction</x:t>
        </x:is>
      </x:c>
      <x:c r="F67" s="5" t="n">
        <x:v>0.2</x:v>
      </x:c>
      <x:c r="G67" s="4" t="inlineStr">
        <x:is>
          <x:t xml:space="preserve">D3_SC7</x:t>
        </x:is>
      </x:c>
      <x:c r="H67" s="4" t="inlineStr">
        <x:is>
          <x:t xml:space="preserve">Insurance</x:t>
        </x:is>
      </x:c>
      <x:c r="I67" s="5" t="n">
        <x:v>0.5</x:v>
      </x:c>
      <x:c r="J67" s="4" t="inlineStr">
        <x:is>
          <x:t xml:space="preserve">D3_SS21</x:t>
        </x:is>
      </x:c>
      <x:c r="K67" s="4" t="inlineStr">
        <x:is>
          <x:t xml:space="preserve">Qualité assureurs</x:t>
        </x:is>
      </x:c>
      <x:c r="L67" s="5" t="n">
        <x:v>0.25</x:v>
      </x:c>
      <x:c r="M67" s="4" t="inlineStr">
        <x:is>
          <x:t xml:space="preserve"/>
        </x:is>
      </x:c>
      <x:c r="N67" s="4" t="inlineStr">
        <x:is>
          <x:t xml:space="preserve"/>
        </x:is>
      </x:c>
      <x:c r="O67" s="6" t="n"/>
      <x:c r="P67" s="5">
        <x:f>C67*F67*I67*L67</x:f>
        <x:v>0.00375</x:v>
      </x:c>
      <x:c r="Q67" s="7">
        <x:f>IF(O67="","",O67/10*P67)</x:f>
      </x:c>
    </x:row>
    <x:row r="68">
      <x:c r="A68" s="4" t="inlineStr">
        <x:is>
          <x:t xml:space="preserve">D3</x:t>
        </x:is>
      </x:c>
      <x:c r="B68" s="4" t="inlineStr">
        <x:is>
          <x:t xml:space="preserve">Construction Phase</x:t>
        </x:is>
      </x:c>
      <x:c r="C68" s="5" t="n">
        <x:v>0.15</x:v>
      </x:c>
      <x:c r="D68" s="4" t="inlineStr">
        <x:is>
          <x:t xml:space="preserve">D3_C3</x:t>
        </x:is>
      </x:c>
      <x:c r="E68" s="4" t="inlineStr">
        <x:is>
          <x:t xml:space="preserve">Insurance &amp; HSE During Construction</x:t>
        </x:is>
      </x:c>
      <x:c r="F68" s="5" t="n">
        <x:v>0.2</x:v>
      </x:c>
      <x:c r="G68" s="4" t="inlineStr">
        <x:is>
          <x:t xml:space="preserve">D3_SC8</x:t>
        </x:is>
      </x:c>
      <x:c r="H68" s="4" t="inlineStr">
        <x:is>
          <x:t xml:space="preserve">HSE</x:t>
        </x:is>
      </x:c>
      <x:c r="I68" s="5" t="n">
        <x:v>0.5</x:v>
      </x:c>
      <x:c r="J68" s="4" t="inlineStr">
        <x:is>
          <x:t xml:space="preserve">D3_SS22</x:t>
        </x:is>
      </x:c>
      <x:c r="K68" s="4" t="inlineStr">
        <x:is>
          <x:t xml:space="preserve">Dispositif HSE chantier</x:t>
        </x:is>
      </x:c>
      <x:c r="L68" s="5" t="n">
        <x:v>0.4</x:v>
      </x:c>
      <x:c r="M68" s="4" t="inlineStr">
        <x:is>
          <x:t xml:space="preserve"/>
        </x:is>
      </x:c>
      <x:c r="N68" s="4" t="inlineStr">
        <x:is>
          <x:t xml:space="preserve"/>
        </x:is>
      </x:c>
      <x:c r="O68" s="6" t="n"/>
      <x:c r="P68" s="5">
        <x:f>C68*F68*I68*L68</x:f>
        <x:v>0.006</x:v>
      </x:c>
      <x:c r="Q68" s="7">
        <x:f>IF(O68="","",O68/10*P68)</x:f>
      </x:c>
    </x:row>
    <x:row r="69">
      <x:c r="A69" s="4" t="inlineStr">
        <x:is>
          <x:t xml:space="preserve">D3</x:t>
        </x:is>
      </x:c>
      <x:c r="B69" s="4" t="inlineStr">
        <x:is>
          <x:t xml:space="preserve">Construction Phase</x:t>
        </x:is>
      </x:c>
      <x:c r="C69" s="5" t="n">
        <x:v>0.15</x:v>
      </x:c>
      <x:c r="D69" s="4" t="inlineStr">
        <x:is>
          <x:t xml:space="preserve">D3_C3</x:t>
        </x:is>
      </x:c>
      <x:c r="E69" s="4" t="inlineStr">
        <x:is>
          <x:t xml:space="preserve">Insurance &amp; HSE During Construction</x:t>
        </x:is>
      </x:c>
      <x:c r="F69" s="5" t="n">
        <x:v>0.2</x:v>
      </x:c>
      <x:c r="G69" s="4" t="inlineStr">
        <x:is>
          <x:t xml:space="preserve">D3_SC8</x:t>
        </x:is>
      </x:c>
      <x:c r="H69" s="4" t="inlineStr">
        <x:is>
          <x:t xml:space="preserve">HSE</x:t>
        </x:is>
      </x:c>
      <x:c r="I69" s="5" t="n">
        <x:v>0.5</x:v>
      </x:c>
      <x:c r="J69" s="4" t="inlineStr">
        <x:is>
          <x:t xml:space="preserve">D3_SS23</x:t>
        </x:is>
      </x:c>
      <x:c r="K69" s="4" t="inlineStr">
        <x:is>
          <x:t xml:space="preserve">Historique accidentologie</x:t>
        </x:is>
      </x:c>
      <x:c r="L69" s="5" t="n">
        <x:v>0.3</x:v>
      </x:c>
      <x:c r="M69" s="4" t="inlineStr">
        <x:is>
          <x:t xml:space="preserve"/>
        </x:is>
      </x:c>
      <x:c r="N69" s="4" t="inlineStr">
        <x:is>
          <x:t xml:space="preserve"/>
        </x:is>
      </x:c>
      <x:c r="O69" s="6" t="n"/>
      <x:c r="P69" s="5">
        <x:f>C69*F69*I69*L69</x:f>
        <x:v>0.0045</x:v>
      </x:c>
      <x:c r="Q69" s="7">
        <x:f>IF(O69="","",O69/10*P69)</x:f>
      </x:c>
    </x:row>
    <x:row r="70">
      <x:c r="A70" s="4" t="inlineStr">
        <x:is>
          <x:t xml:space="preserve">D3</x:t>
        </x:is>
      </x:c>
      <x:c r="B70" s="4" t="inlineStr">
        <x:is>
          <x:t xml:space="preserve">Construction Phase</x:t>
        </x:is>
      </x:c>
      <x:c r="C70" s="5" t="n">
        <x:v>0.15</x:v>
      </x:c>
      <x:c r="D70" s="4" t="inlineStr">
        <x:is>
          <x:t xml:space="preserve">D3_C3</x:t>
        </x:is>
      </x:c>
      <x:c r="E70" s="4" t="inlineStr">
        <x:is>
          <x:t xml:space="preserve">Insurance &amp; HSE During Construction</x:t>
        </x:is>
      </x:c>
      <x:c r="F70" s="5" t="n">
        <x:v>0.2</x:v>
      </x:c>
      <x:c r="G70" s="4" t="inlineStr">
        <x:is>
          <x:t xml:space="preserve">D3_SC8</x:t>
        </x:is>
      </x:c>
      <x:c r="H70" s="4" t="inlineStr">
        <x:is>
          <x:t xml:space="preserve">HSE</x:t>
        </x:is>
      </x:c>
      <x:c r="I70" s="5" t="n">
        <x:v>0.5</x:v>
      </x:c>
      <x:c r="J70" s="4" t="inlineStr">
        <x:is>
          <x:t xml:space="preserve">D3_SS24</x:t>
        </x:is>
      </x:c>
      <x:c r="K70" s="4" t="inlineStr">
        <x:is>
          <x:t xml:space="preserve">Gestion sous-traitants</x:t>
        </x:is>
      </x:c>
      <x:c r="L70" s="5" t="n">
        <x:v>0.3</x:v>
      </x:c>
      <x:c r="M70" s="4" t="inlineStr">
        <x:is>
          <x:t xml:space="preserve"/>
        </x:is>
      </x:c>
      <x:c r="N70" s="4" t="inlineStr">
        <x:is>
          <x:t xml:space="preserve"/>
        </x:is>
      </x:c>
      <x:c r="O70" s="6" t="n"/>
      <x:c r="P70" s="5">
        <x:f>C70*F70*I70*L70</x:f>
        <x:v>0.0045</x:v>
      </x:c>
      <x:c r="Q70" s="7">
        <x:f>IF(O70="","",O70/10*P70)</x:f>
      </x:c>
    </x:row>
    <x:row r="71">
      <x:c r="A71" s="4" t="inlineStr">
        <x:is>
          <x:t xml:space="preserve">D4</x:t>
        </x:is>
      </x:c>
      <x:c r="B71" s="4" t="inlineStr">
        <x:is>
          <x:t xml:space="preserve">Operation Phase</x:t>
        </x:is>
      </x:c>
      <x:c r="C71" s="5" t="n">
        <x:v>0.1</x:v>
      </x:c>
      <x:c r="D71" s="4" t="inlineStr">
        <x:is>
          <x:t xml:space="preserve">D4_C1</x:t>
        </x:is>
      </x:c>
      <x:c r="E71" s="4" t="inlineStr">
        <x:is>
          <x:t xml:space="preserve">Operations &amp; Maintenance</x:t>
        </x:is>
      </x:c>
      <x:c r="F71" s="5" t="n">
        <x:v>0.5</x:v>
      </x:c>
      <x:c r="G71" s="4" t="inlineStr">
        <x:is>
          <x:t xml:space="preserve">D4_SC1</x:t>
        </x:is>
      </x:c>
      <x:c r="H71" s="4" t="inlineStr">
        <x:is>
          <x:t xml:space="preserve">Operator quality</x:t>
        </x:is>
      </x:c>
      <x:c r="I71" s="5" t="n">
        <x:v>0.4</x:v>
      </x:c>
      <x:c r="J71" s="4" t="inlineStr">
        <x:is>
          <x:t xml:space="preserve">D4_SS1</x:t>
        </x:is>
      </x:c>
      <x:c r="K71" s="4" t="inlineStr">
        <x:is>
          <x:t xml:space="preserve">Expérience de l'opérateur</x:t>
        </x:is>
      </x:c>
      <x:c r="L71" s="5" t="n">
        <x:v>0.4</x:v>
      </x:c>
      <x:c r="M71" s="4" t="inlineStr">
        <x:is>
          <x:t xml:space="preserve"/>
        </x:is>
      </x:c>
      <x:c r="N71" s="4" t="inlineStr">
        <x:is>
          <x:t xml:space="preserve"/>
        </x:is>
      </x:c>
      <x:c r="O71" s="6" t="n"/>
      <x:c r="P71" s="5">
        <x:f>C71*F71*I71*L71</x:f>
        <x:v>0.008000000000000002</x:v>
      </x:c>
      <x:c r="Q71" s="7">
        <x:f>IF(O71="","",O71/10*P71)</x:f>
      </x:c>
    </x:row>
    <x:row r="72">
      <x:c r="A72" s="4" t="inlineStr">
        <x:is>
          <x:t xml:space="preserve">D4</x:t>
        </x:is>
      </x:c>
      <x:c r="B72" s="4" t="inlineStr">
        <x:is>
          <x:t xml:space="preserve">Operation Phase</x:t>
        </x:is>
      </x:c>
      <x:c r="C72" s="5" t="n">
        <x:v>0.1</x:v>
      </x:c>
      <x:c r="D72" s="4" t="inlineStr">
        <x:is>
          <x:t xml:space="preserve">D4_C1</x:t>
        </x:is>
      </x:c>
      <x:c r="E72" s="4" t="inlineStr">
        <x:is>
          <x:t xml:space="preserve">Operations &amp; Maintenance</x:t>
        </x:is>
      </x:c>
      <x:c r="F72" s="5" t="n">
        <x:v>0.5</x:v>
      </x:c>
      <x:c r="G72" s="4" t="inlineStr">
        <x:is>
          <x:t xml:space="preserve">D4_SC1</x:t>
        </x:is>
      </x:c>
      <x:c r="H72" s="4" t="inlineStr">
        <x:is>
          <x:t xml:space="preserve">Operator quality</x:t>
        </x:is>
      </x:c>
      <x:c r="I72" s="5" t="n">
        <x:v>0.4</x:v>
      </x:c>
      <x:c r="J72" s="4" t="inlineStr">
        <x:is>
          <x:t xml:space="preserve">D4_SS2</x:t>
        </x:is>
      </x:c>
      <x:c r="K72" s="4" t="inlineStr">
        <x:is>
          <x:t xml:space="preserve">Références sur actifs similaires</x:t>
        </x:is>
      </x:c>
      <x:c r="L72" s="5" t="n">
        <x:v>0.35</x:v>
      </x:c>
      <x:c r="M72" s="4" t="inlineStr">
        <x:is>
          <x:t xml:space="preserve"/>
        </x:is>
      </x:c>
      <x:c r="N72" s="4" t="inlineStr">
        <x:is>
          <x:t xml:space="preserve"/>
        </x:is>
      </x:c>
      <x:c r="O72" s="6" t="n"/>
      <x:c r="P72" s="5">
        <x:f>C72*F72*I72*L72</x:f>
        <x:v>0.007000000000000001</x:v>
      </x:c>
      <x:c r="Q72" s="7">
        <x:f>IF(O72="","",O72/10*P72)</x:f>
      </x:c>
    </x:row>
    <x:row r="73">
      <x:c r="A73" s="4" t="inlineStr">
        <x:is>
          <x:t xml:space="preserve">D4</x:t>
        </x:is>
      </x:c>
      <x:c r="B73" s="4" t="inlineStr">
        <x:is>
          <x:t xml:space="preserve">Operation Phase</x:t>
        </x:is>
      </x:c>
      <x:c r="C73" s="5" t="n">
        <x:v>0.1</x:v>
      </x:c>
      <x:c r="D73" s="4" t="inlineStr">
        <x:is>
          <x:t xml:space="preserve">D4_C1</x:t>
        </x:is>
      </x:c>
      <x:c r="E73" s="4" t="inlineStr">
        <x:is>
          <x:t xml:space="preserve">Operations &amp; Maintenance</x:t>
        </x:is>
      </x:c>
      <x:c r="F73" s="5" t="n">
        <x:v>0.5</x:v>
      </x:c>
      <x:c r="G73" s="4" t="inlineStr">
        <x:is>
          <x:t xml:space="preserve">D4_SC1</x:t>
        </x:is>
      </x:c>
      <x:c r="H73" s="4" t="inlineStr">
        <x:is>
          <x:t xml:space="preserve">Operator quality</x:t>
        </x:is>
      </x:c>
      <x:c r="I73" s="5" t="n">
        <x:v>0.4</x:v>
      </x:c>
      <x:c r="J73" s="4" t="inlineStr">
        <x:is>
          <x:t xml:space="preserve">D4_SS3</x:t>
        </x:is>
      </x:c>
      <x:c r="K73" s="4" t="inlineStr">
        <x:is>
          <x:t xml:space="preserve">Solidité organisationnelle</x:t>
        </x:is>
      </x:c>
      <x:c r="L73" s="5" t="n">
        <x:v>0.25</x:v>
      </x:c>
      <x:c r="M73" s="4" t="inlineStr">
        <x:is>
          <x:t xml:space="preserve"/>
        </x:is>
      </x:c>
      <x:c r="N73" s="4" t="inlineStr">
        <x:is>
          <x:t xml:space="preserve"/>
        </x:is>
      </x:c>
      <x:c r="O73" s="6" t="n"/>
      <x:c r="P73" s="5">
        <x:f>C73*F73*I73*L73</x:f>
        <x:v>0.005000000000000001</x:v>
      </x:c>
      <x:c r="Q73" s="7">
        <x:f>IF(O73="","",O73/10*P73)</x:f>
      </x:c>
    </x:row>
    <x:row r="74">
      <x:c r="A74" s="4" t="inlineStr">
        <x:is>
          <x:t xml:space="preserve">D4</x:t>
        </x:is>
      </x:c>
      <x:c r="B74" s="4" t="inlineStr">
        <x:is>
          <x:t xml:space="preserve">Operation Phase</x:t>
        </x:is>
      </x:c>
      <x:c r="C74" s="5" t="n">
        <x:v>0.1</x:v>
      </x:c>
      <x:c r="D74" s="4" t="inlineStr">
        <x:is>
          <x:t xml:space="preserve">D4_C1</x:t>
        </x:is>
      </x:c>
      <x:c r="E74" s="4" t="inlineStr">
        <x:is>
          <x:t xml:space="preserve">Operations &amp; Maintenance</x:t>
        </x:is>
      </x:c>
      <x:c r="F74" s="5" t="n">
        <x:v>0.5</x:v>
      </x:c>
      <x:c r="G74" s="4" t="inlineStr">
        <x:is>
          <x:t xml:space="preserve">D4_SC2</x:t>
        </x:is>
      </x:c>
      <x:c r="H74" s="4" t="inlineStr">
        <x:is>
          <x:t xml:space="preserve">O&amp;M contract</x:t>
        </x:is>
      </x:c>
      <x:c r="I74" s="5" t="n">
        <x:v>0.35</x:v>
      </x:c>
      <x:c r="J74" s="4" t="inlineStr">
        <x:is>
          <x:t xml:space="preserve">D4_SS4</x:t>
        </x:is>
      </x:c>
      <x:c r="K74" s="4" t="inlineStr">
        <x:is>
          <x:t xml:space="preserve">Qualité contrat O&amp;M</x:t>
        </x:is>
      </x:c>
      <x:c r="L74" s="5" t="n">
        <x:v>0.4</x:v>
      </x:c>
      <x:c r="M74" s="4" t="inlineStr">
        <x:is>
          <x:t xml:space="preserve"/>
        </x:is>
      </x:c>
      <x:c r="N74" s="4" t="inlineStr">
        <x:is>
          <x:t xml:space="preserve"/>
        </x:is>
      </x:c>
      <x:c r="O74" s="6" t="n"/>
      <x:c r="P74" s="5">
        <x:f>C74*F74*I74*L74</x:f>
        <x:v>0.006999999999999999</x:v>
      </x:c>
      <x:c r="Q74" s="7">
        <x:f>IF(O74="","",O74/10*P74)</x:f>
      </x:c>
    </x:row>
    <x:row r="75">
      <x:c r="A75" s="4" t="inlineStr">
        <x:is>
          <x:t xml:space="preserve">D4</x:t>
        </x:is>
      </x:c>
      <x:c r="B75" s="4" t="inlineStr">
        <x:is>
          <x:t xml:space="preserve">Operation Phase</x:t>
        </x:is>
      </x:c>
      <x:c r="C75" s="5" t="n">
        <x:v>0.1</x:v>
      </x:c>
      <x:c r="D75" s="4" t="inlineStr">
        <x:is>
          <x:t xml:space="preserve">D4_C1</x:t>
        </x:is>
      </x:c>
      <x:c r="E75" s="4" t="inlineStr">
        <x:is>
          <x:t xml:space="preserve">Operations &amp; Maintenance</x:t>
        </x:is>
      </x:c>
      <x:c r="F75" s="5" t="n">
        <x:v>0.5</x:v>
      </x:c>
      <x:c r="G75" s="4" t="inlineStr">
        <x:is>
          <x:t xml:space="preserve">D4_SC2</x:t>
        </x:is>
      </x:c>
      <x:c r="H75" s="4" t="inlineStr">
        <x:is>
          <x:t xml:space="preserve">O&amp;M contract</x:t>
        </x:is>
      </x:c>
      <x:c r="I75" s="5" t="n">
        <x:v>0.35</x:v>
      </x:c>
      <x:c r="J75" s="4" t="inlineStr">
        <x:is>
          <x:t xml:space="preserve">D4_SS5</x:t>
        </x:is>
      </x:c>
      <x:c r="K75" s="4" t="inlineStr">
        <x:is>
          <x:t xml:space="preserve">Répartition risques perf./disponibilité</x:t>
        </x:is>
      </x:c>
      <x:c r="L75" s="5" t="n">
        <x:v>0.35</x:v>
      </x:c>
      <x:c r="M75" s="4" t="inlineStr">
        <x:is>
          <x:t xml:space="preserve"/>
        </x:is>
      </x:c>
      <x:c r="N75" s="4" t="inlineStr">
        <x:is>
          <x:t xml:space="preserve"/>
        </x:is>
      </x:c>
      <x:c r="O75" s="6" t="n"/>
      <x:c r="P75" s="5">
        <x:f>C75*F75*I75*L75</x:f>
        <x:v>0.006124999999999999</x:v>
      </x:c>
      <x:c r="Q75" s="7">
        <x:f>IF(O75="","",O75/10*P75)</x:f>
      </x:c>
    </x:row>
    <x:row r="76">
      <x:c r="A76" s="4" t="inlineStr">
        <x:is>
          <x:t xml:space="preserve">D4</x:t>
        </x:is>
      </x:c>
      <x:c r="B76" s="4" t="inlineStr">
        <x:is>
          <x:t xml:space="preserve">Operation Phase</x:t>
        </x:is>
      </x:c>
      <x:c r="C76" s="5" t="n">
        <x:v>0.1</x:v>
      </x:c>
      <x:c r="D76" s="4" t="inlineStr">
        <x:is>
          <x:t xml:space="preserve">D4_C1</x:t>
        </x:is>
      </x:c>
      <x:c r="E76" s="4" t="inlineStr">
        <x:is>
          <x:t xml:space="preserve">Operations &amp; Maintenance</x:t>
        </x:is>
      </x:c>
      <x:c r="F76" s="5" t="n">
        <x:v>0.5</x:v>
      </x:c>
      <x:c r="G76" s="4" t="inlineStr">
        <x:is>
          <x:t xml:space="preserve">D4_SC2</x:t>
        </x:is>
      </x:c>
      <x:c r="H76" s="4" t="inlineStr">
        <x:is>
          <x:t xml:space="preserve">O&amp;M contract</x:t>
        </x:is>
      </x:c>
      <x:c r="I76" s="5" t="n">
        <x:v>0.35</x:v>
      </x:c>
      <x:c r="J76" s="4" t="inlineStr">
        <x:is>
          <x:t xml:space="preserve">D4_SS6</x:t>
        </x:is>
      </x:c>
      <x:c r="K76" s="4" t="inlineStr">
        <x:is>
          <x:t xml:space="preserve">Mécanismes d'incitation / pénalités</x:t>
        </x:is>
      </x:c>
      <x:c r="L76" s="5" t="n">
        <x:v>0.25</x:v>
      </x:c>
      <x:c r="M76" s="4" t="inlineStr">
        <x:is>
          <x:t xml:space="preserve"/>
        </x:is>
      </x:c>
      <x:c r="N76" s="4" t="inlineStr">
        <x:is>
          <x:t xml:space="preserve"/>
        </x:is>
      </x:c>
      <x:c r="O76" s="6" t="n"/>
      <x:c r="P76" s="5">
        <x:f>C76*F76*I76*L76</x:f>
        <x:v>0.0043749999999999995</x:v>
      </x:c>
      <x:c r="Q76" s="7">
        <x:f>IF(O76="","",O76/10*P76)</x:f>
      </x:c>
    </x:row>
    <x:row r="77">
      <x:c r="A77" s="4" t="inlineStr">
        <x:is>
          <x:t xml:space="preserve">D4</x:t>
        </x:is>
      </x:c>
      <x:c r="B77" s="4" t="inlineStr">
        <x:is>
          <x:t xml:space="preserve">Operation Phase</x:t>
        </x:is>
      </x:c>
      <x:c r="C77" s="5" t="n">
        <x:v>0.1</x:v>
      </x:c>
      <x:c r="D77" s="4" t="inlineStr">
        <x:is>
          <x:t xml:space="preserve">D4_C1</x:t>
        </x:is>
      </x:c>
      <x:c r="E77" s="4" t="inlineStr">
        <x:is>
          <x:t xml:space="preserve">Operations &amp; Maintenance</x:t>
        </x:is>
      </x:c>
      <x:c r="F77" s="5" t="n">
        <x:v>0.5</x:v>
      </x:c>
      <x:c r="G77" s="4" t="inlineStr">
        <x:is>
          <x:t xml:space="preserve">D4_SC3</x:t>
        </x:is>
      </x:c>
      <x:c r="H77" s="4" t="inlineStr">
        <x:is>
          <x:t xml:space="preserve">Maintenance regime</x:t>
        </x:is>
      </x:c>
      <x:c r="I77" s="5" t="n">
        <x:v>0.25</x:v>
      </x:c>
      <x:c r="J77" s="4" t="inlineStr">
        <x:is>
          <x:t xml:space="preserve">D4_SS7</x:t>
        </x:is>
      </x:c>
      <x:c r="K77" s="4" t="inlineStr">
        <x:is>
          <x:t xml:space="preserve">Programme de maintenance</x:t>
        </x:is>
      </x:c>
      <x:c r="L77" s="5" t="n">
        <x:v>0.4</x:v>
      </x:c>
      <x:c r="M77" s="4" t="inlineStr">
        <x:is>
          <x:t xml:space="preserve"/>
        </x:is>
      </x:c>
      <x:c r="N77" s="4" t="inlineStr">
        <x:is>
          <x:t xml:space="preserve"/>
        </x:is>
      </x:c>
      <x:c r="O77" s="6" t="n"/>
      <x:c r="P77" s="5">
        <x:f>C77*F77*I77*L77</x:f>
        <x:v>0.005000000000000001</x:v>
      </x:c>
      <x:c r="Q77" s="7">
        <x:f>IF(O77="","",O77/10*P77)</x:f>
      </x:c>
    </x:row>
    <x:row r="78">
      <x:c r="A78" s="4" t="inlineStr">
        <x:is>
          <x:t xml:space="preserve">D4</x:t>
        </x:is>
      </x:c>
      <x:c r="B78" s="4" t="inlineStr">
        <x:is>
          <x:t xml:space="preserve">Operation Phase</x:t>
        </x:is>
      </x:c>
      <x:c r="C78" s="5" t="n">
        <x:v>0.1</x:v>
      </x:c>
      <x:c r="D78" s="4" t="inlineStr">
        <x:is>
          <x:t xml:space="preserve">D4_C1</x:t>
        </x:is>
      </x:c>
      <x:c r="E78" s="4" t="inlineStr">
        <x:is>
          <x:t xml:space="preserve">Operations &amp; Maintenance</x:t>
        </x:is>
      </x:c>
      <x:c r="F78" s="5" t="n">
        <x:v>0.5</x:v>
      </x:c>
      <x:c r="G78" s="4" t="inlineStr">
        <x:is>
          <x:t xml:space="preserve">D4_SC3</x:t>
        </x:is>
      </x:c>
      <x:c r="H78" s="4" t="inlineStr">
        <x:is>
          <x:t xml:space="preserve">Maintenance regime</x:t>
        </x:is>
      </x:c>
      <x:c r="I78" s="5" t="n">
        <x:v>0.25</x:v>
      </x:c>
      <x:c r="J78" s="4" t="inlineStr">
        <x:is>
          <x:t xml:space="preserve">D4_SS8</x:t>
        </x:is>
      </x:c>
      <x:c r="K78" s="4" t="inlineStr">
        <x:is>
          <x:t xml:space="preserve">Disponibilité pièces / support OEM</x:t>
        </x:is>
      </x:c>
      <x:c r="L78" s="5" t="n">
        <x:v>0.35</x:v>
      </x:c>
      <x:c r="M78" s="4" t="inlineStr">
        <x:is>
          <x:t xml:space="preserve"/>
        </x:is>
      </x:c>
      <x:c r="N78" s="4" t="inlineStr">
        <x:is>
          <x:t xml:space="preserve"/>
        </x:is>
      </x:c>
      <x:c r="O78" s="6" t="n"/>
      <x:c r="P78" s="5">
        <x:f>C78*F78*I78*L78</x:f>
        <x:v>0.0043749999999999995</x:v>
      </x:c>
      <x:c r="Q78" s="7">
        <x:f>IF(O78="","",O78/10*P78)</x:f>
      </x:c>
    </x:row>
    <x:row r="79">
      <x:c r="A79" s="4" t="inlineStr">
        <x:is>
          <x:t xml:space="preserve">D4</x:t>
        </x:is>
      </x:c>
      <x:c r="B79" s="4" t="inlineStr">
        <x:is>
          <x:t xml:space="preserve">Operation Phase</x:t>
        </x:is>
      </x:c>
      <x:c r="C79" s="5" t="n">
        <x:v>0.1</x:v>
      </x:c>
      <x:c r="D79" s="4" t="inlineStr">
        <x:is>
          <x:t xml:space="preserve">D4_C1</x:t>
        </x:is>
      </x:c>
      <x:c r="E79" s="4" t="inlineStr">
        <x:is>
          <x:t xml:space="preserve">Operations &amp; Maintenance</x:t>
        </x:is>
      </x:c>
      <x:c r="F79" s="5" t="n">
        <x:v>0.5</x:v>
      </x:c>
      <x:c r="G79" s="4" t="inlineStr">
        <x:is>
          <x:t xml:space="preserve">D4_SC3</x:t>
        </x:is>
      </x:c>
      <x:c r="H79" s="4" t="inlineStr">
        <x:is>
          <x:t xml:space="preserve">Maintenance regime</x:t>
        </x:is>
      </x:c>
      <x:c r="I79" s="5" t="n">
        <x:v>0.25</x:v>
      </x:c>
      <x:c r="J79" s="4" t="inlineStr">
        <x:is>
          <x:t xml:space="preserve">D4_SS9</x:t>
        </x:is>
      </x:c>
      <x:c r="K79" s="4" t="inlineStr">
        <x:is>
          <x:t xml:space="preserve">Capex de renouvellement anticipé</x:t>
        </x:is>
      </x:c>
      <x:c r="L79" s="5" t="n">
        <x:v>0.25</x:v>
      </x:c>
      <x:c r="M79" s="4" t="inlineStr">
        <x:is>
          <x:t xml:space="preserve"/>
        </x:is>
      </x:c>
      <x:c r="N79" s="4" t="inlineStr">
        <x:is>
          <x:t xml:space="preserve"/>
        </x:is>
      </x:c>
      <x:c r="O79" s="6" t="n"/>
      <x:c r="P79" s="5">
        <x:f>C79*F79*I79*L79</x:f>
        <x:v>0.003125</x:v>
      </x:c>
      <x:c r="Q79" s="7">
        <x:f>IF(O79="","",O79/10*P79)</x:f>
      </x:c>
    </x:row>
    <x:row r="80">
      <x:c r="A80" s="4" t="inlineStr">
        <x:is>
          <x:t xml:space="preserve">D4</x:t>
        </x:is>
      </x:c>
      <x:c r="B80" s="4" t="inlineStr">
        <x:is>
          <x:t xml:space="preserve">Operation Phase</x:t>
        </x:is>
      </x:c>
      <x:c r="C80" s="5" t="n">
        <x:v>0.1</x:v>
      </x:c>
      <x:c r="D80" s="4" t="inlineStr">
        <x:is>
          <x:t xml:space="preserve">D4_C2</x:t>
        </x:is>
      </x:c>
      <x:c r="E80" s="4" t="inlineStr">
        <x:is>
          <x:t xml:space="preserve">Operational Resilience</x:t>
        </x:is>
      </x:c>
      <x:c r="F80" s="5" t="n">
        <x:v>0.3</x:v>
      </x:c>
      <x:c r="G80" s="4" t="inlineStr">
        <x:is>
          <x:t xml:space="preserve">D4_SC4</x:t>
        </x:is>
      </x:c>
      <x:c r="H80" s="4" t="inlineStr">
        <x:is>
          <x:t xml:space="preserve">Performance stability</x:t>
        </x:is>
      </x:c>
      <x:c r="I80" s="5" t="n">
        <x:v>0.5</x:v>
      </x:c>
      <x:c r="J80" s="4" t="inlineStr">
        <x:is>
          <x:t xml:space="preserve">D4_SS10</x:t>
        </x:is>
      </x:c>
      <x:c r="K80" s="4" t="inlineStr">
        <x:is>
          <x:t xml:space="preserve">Stabilité du rendement / output</x:t>
        </x:is>
      </x:c>
      <x:c r="L80" s="5" t="n">
        <x:v>0.4</x:v>
      </x:c>
      <x:c r="M80" s="4" t="inlineStr">
        <x:is>
          <x:t xml:space="preserve"/>
        </x:is>
      </x:c>
      <x:c r="N80" s="4" t="inlineStr">
        <x:is>
          <x:t xml:space="preserve"/>
        </x:is>
      </x:c>
      <x:c r="O80" s="6" t="n"/>
      <x:c r="P80" s="5">
        <x:f>C80*F80*I80*L80</x:f>
        <x:v>0.006</x:v>
      </x:c>
      <x:c r="Q80" s="7">
        <x:f>IF(O80="","",O80/10*P80)</x:f>
      </x:c>
    </x:row>
    <x:row r="81">
      <x:c r="A81" s="4" t="inlineStr">
        <x:is>
          <x:t xml:space="preserve">D4</x:t>
        </x:is>
      </x:c>
      <x:c r="B81" s="4" t="inlineStr">
        <x:is>
          <x:t xml:space="preserve">Operation Phase</x:t>
        </x:is>
      </x:c>
      <x:c r="C81" s="5" t="n">
        <x:v>0.1</x:v>
      </x:c>
      <x:c r="D81" s="4" t="inlineStr">
        <x:is>
          <x:t xml:space="preserve">D4_C2</x:t>
        </x:is>
      </x:c>
      <x:c r="E81" s="4" t="inlineStr">
        <x:is>
          <x:t xml:space="preserve">Operational Resilience</x:t>
        </x:is>
      </x:c>
      <x:c r="F81" s="5" t="n">
        <x:v>0.3</x:v>
      </x:c>
      <x:c r="G81" s="4" t="inlineStr">
        <x:is>
          <x:t xml:space="preserve">D4_SC4</x:t>
        </x:is>
      </x:c>
      <x:c r="H81" s="4" t="inlineStr">
        <x:is>
          <x:t xml:space="preserve">Performance stability</x:t>
        </x:is>
      </x:c>
      <x:c r="I81" s="5" t="n">
        <x:v>0.5</x:v>
      </x:c>
      <x:c r="J81" s="4" t="inlineStr">
        <x:is>
          <x:t xml:space="preserve">D4_SS11</x:t>
        </x:is>
      </x:c>
      <x:c r="K81" s="4" t="inlineStr">
        <x:is>
          <x:t xml:space="preserve">Sensibilité aux aléas opérationnels</x:t>
        </x:is>
      </x:c>
      <x:c r="L81" s="5" t="n">
        <x:v>0.35</x:v>
      </x:c>
      <x:c r="M81" s="4" t="inlineStr">
        <x:is>
          <x:t xml:space="preserve"/>
        </x:is>
      </x:c>
      <x:c r="N81" s="4" t="inlineStr">
        <x:is>
          <x:t xml:space="preserve"/>
        </x:is>
      </x:c>
      <x:c r="O81" s="6" t="n"/>
      <x:c r="P81" s="5">
        <x:f>C81*F81*I81*L81</x:f>
        <x:v>0.0052499999999999995</x:v>
      </x:c>
      <x:c r="Q81" s="7">
        <x:f>IF(O81="","",O81/10*P81)</x:f>
      </x:c>
    </x:row>
    <x:row r="82">
      <x:c r="A82" s="4" t="inlineStr">
        <x:is>
          <x:t xml:space="preserve">D4</x:t>
        </x:is>
      </x:c>
      <x:c r="B82" s="4" t="inlineStr">
        <x:is>
          <x:t xml:space="preserve">Operation Phase</x:t>
        </x:is>
      </x:c>
      <x:c r="C82" s="5" t="n">
        <x:v>0.1</x:v>
      </x:c>
      <x:c r="D82" s="4" t="inlineStr">
        <x:is>
          <x:t xml:space="preserve">D4_C2</x:t>
        </x:is>
      </x:c>
      <x:c r="E82" s="4" t="inlineStr">
        <x:is>
          <x:t xml:space="preserve">Operational Resilience</x:t>
        </x:is>
      </x:c>
      <x:c r="F82" s="5" t="n">
        <x:v>0.3</x:v>
      </x:c>
      <x:c r="G82" s="4" t="inlineStr">
        <x:is>
          <x:t xml:space="preserve">D4_SC4</x:t>
        </x:is>
      </x:c>
      <x:c r="H82" s="4" t="inlineStr">
        <x:is>
          <x:t xml:space="preserve">Performance stability</x:t>
        </x:is>
      </x:c>
      <x:c r="I82" s="5" t="n">
        <x:v>0.5</x:v>
      </x:c>
      <x:c r="J82" s="4" t="inlineStr">
        <x:is>
          <x:t xml:space="preserve">D4_SS12</x:t>
        </x:is>
      </x:c>
      <x:c r="K82" s="4" t="inlineStr">
        <x:is>
          <x:t xml:space="preserve">Historique disponibilité technique</x:t>
        </x:is>
      </x:c>
      <x:c r="L82" s="5" t="n">
        <x:v>0.25</x:v>
      </x:c>
      <x:c r="M82" s="4" t="inlineStr">
        <x:is>
          <x:t xml:space="preserve"/>
        </x:is>
      </x:c>
      <x:c r="N82" s="4" t="inlineStr">
        <x:is>
          <x:t xml:space="preserve"/>
        </x:is>
      </x:c>
      <x:c r="O82" s="6" t="n"/>
      <x:c r="P82" s="5">
        <x:f>C82*F82*I82*L82</x:f>
        <x:v>0.00375</x:v>
      </x:c>
      <x:c r="Q82" s="7">
        <x:f>IF(O82="","",O82/10*P82)</x:f>
      </x:c>
    </x:row>
    <x:row r="83">
      <x:c r="A83" s="4" t="inlineStr">
        <x:is>
          <x:t xml:space="preserve">D4</x:t>
        </x:is>
      </x:c>
      <x:c r="B83" s="4" t="inlineStr">
        <x:is>
          <x:t xml:space="preserve">Operation Phase</x:t>
        </x:is>
      </x:c>
      <x:c r="C83" s="5" t="n">
        <x:v>0.1</x:v>
      </x:c>
      <x:c r="D83" s="4" t="inlineStr">
        <x:is>
          <x:t xml:space="preserve">D4_C2</x:t>
        </x:is>
      </x:c>
      <x:c r="E83" s="4" t="inlineStr">
        <x:is>
          <x:t xml:space="preserve">Operational Resilience</x:t>
        </x:is>
      </x:c>
      <x:c r="F83" s="5" t="n">
        <x:v>0.3</x:v>
      </x:c>
      <x:c r="G83" s="4" t="inlineStr">
        <x:is>
          <x:t xml:space="preserve">D4_SC5</x:t>
        </x:is>
      </x:c>
      <x:c r="H83" s="4" t="inlineStr">
        <x:is>
          <x:t xml:space="preserve">Business continuity</x:t>
        </x:is>
      </x:c>
      <x:c r="I83" s="5" t="n">
        <x:v>0.5</x:v>
      </x:c>
      <x:c r="J83" s="4" t="inlineStr">
        <x:is>
          <x:t xml:space="preserve">D4_SS13</x:t>
        </x:is>
      </x:c>
      <x:c r="K83" s="4" t="inlineStr">
        <x:is>
          <x:t xml:space="preserve">Plan de continuité</x:t>
        </x:is>
      </x:c>
      <x:c r="L83" s="5" t="n">
        <x:v>0.4</x:v>
      </x:c>
      <x:c r="M83" s="4" t="inlineStr">
        <x:is>
          <x:t xml:space="preserve"/>
        </x:is>
      </x:c>
      <x:c r="N83" s="4" t="inlineStr">
        <x:is>
          <x:t xml:space="preserve"/>
        </x:is>
      </x:c>
      <x:c r="O83" s="6" t="n"/>
      <x:c r="P83" s="5">
        <x:f>C83*F83*I83*L83</x:f>
        <x:v>0.006</x:v>
      </x:c>
      <x:c r="Q83" s="7">
        <x:f>IF(O83="","",O83/10*P83)</x:f>
      </x:c>
    </x:row>
    <x:row r="84">
      <x:c r="A84" s="4" t="inlineStr">
        <x:is>
          <x:t xml:space="preserve">D4</x:t>
        </x:is>
      </x:c>
      <x:c r="B84" s="4" t="inlineStr">
        <x:is>
          <x:t xml:space="preserve">Operation Phase</x:t>
        </x:is>
      </x:c>
      <x:c r="C84" s="5" t="n">
        <x:v>0.1</x:v>
      </x:c>
      <x:c r="D84" s="4" t="inlineStr">
        <x:is>
          <x:t xml:space="preserve">D4_C2</x:t>
        </x:is>
      </x:c>
      <x:c r="E84" s="4" t="inlineStr">
        <x:is>
          <x:t xml:space="preserve">Operational Resilience</x:t>
        </x:is>
      </x:c>
      <x:c r="F84" s="5" t="n">
        <x:v>0.3</x:v>
      </x:c>
      <x:c r="G84" s="4" t="inlineStr">
        <x:is>
          <x:t xml:space="preserve">D4_SC5</x:t>
        </x:is>
      </x:c>
      <x:c r="H84" s="4" t="inlineStr">
        <x:is>
          <x:t xml:space="preserve">Business continuity</x:t>
        </x:is>
      </x:c>
      <x:c r="I84" s="5" t="n">
        <x:v>0.5</x:v>
      </x:c>
      <x:c r="J84" s="4" t="inlineStr">
        <x:is>
          <x:t xml:space="preserve">D4_SS14</x:t>
        </x:is>
      </x:c>
      <x:c r="K84" s="4" t="inlineStr">
        <x:is>
          <x:t xml:space="preserve">Cybersécurité / systèmes critiques</x:t>
        </x:is>
      </x:c>
      <x:c r="L84" s="5" t="n">
        <x:v>0.3</x:v>
      </x:c>
      <x:c r="M84" s="4" t="inlineStr">
        <x:is>
          <x:t xml:space="preserve"/>
        </x:is>
      </x:c>
      <x:c r="N84" s="4" t="inlineStr">
        <x:is>
          <x:t xml:space="preserve"/>
        </x:is>
      </x:c>
      <x:c r="O84" s="6" t="n"/>
      <x:c r="P84" s="5">
        <x:f>C84*F84*I84*L84</x:f>
        <x:v>0.0045</x:v>
      </x:c>
      <x:c r="Q84" s="7">
        <x:f>IF(O84="","",O84/10*P84)</x:f>
      </x:c>
    </x:row>
    <x:row r="85">
      <x:c r="A85" s="4" t="inlineStr">
        <x:is>
          <x:t xml:space="preserve">D4</x:t>
        </x:is>
      </x:c>
      <x:c r="B85" s="4" t="inlineStr">
        <x:is>
          <x:t xml:space="preserve">Operation Phase</x:t>
        </x:is>
      </x:c>
      <x:c r="C85" s="5" t="n">
        <x:v>0.1</x:v>
      </x:c>
      <x:c r="D85" s="4" t="inlineStr">
        <x:is>
          <x:t xml:space="preserve">D4_C2</x:t>
        </x:is>
      </x:c>
      <x:c r="E85" s="4" t="inlineStr">
        <x:is>
          <x:t xml:space="preserve">Operational Resilience</x:t>
        </x:is>
      </x:c>
      <x:c r="F85" s="5" t="n">
        <x:v>0.3</x:v>
      </x:c>
      <x:c r="G85" s="4" t="inlineStr">
        <x:is>
          <x:t xml:space="preserve">D4_SC5</x:t>
        </x:is>
      </x:c>
      <x:c r="H85" s="4" t="inlineStr">
        <x:is>
          <x:t xml:space="preserve">Business continuity</x:t>
        </x:is>
      </x:c>
      <x:c r="I85" s="5" t="n">
        <x:v>0.5</x:v>
      </x:c>
      <x:c r="J85" s="4" t="inlineStr">
        <x:is>
          <x:t xml:space="preserve">D4_SS15</x:t>
        </x:is>
      </x:c>
      <x:c r="K85" s="4" t="inlineStr">
        <x:is>
          <x:t xml:space="preserve">Gestion des sinistres majeurs</x:t>
        </x:is>
      </x:c>
      <x:c r="L85" s="5" t="n">
        <x:v>0.3</x:v>
      </x:c>
      <x:c r="M85" s="4" t="inlineStr">
        <x:is>
          <x:t xml:space="preserve"/>
        </x:is>
      </x:c>
      <x:c r="N85" s="4" t="inlineStr">
        <x:is>
          <x:t xml:space="preserve"/>
        </x:is>
      </x:c>
      <x:c r="O85" s="6" t="n"/>
      <x:c r="P85" s="5">
        <x:f>C85*F85*I85*L85</x:f>
        <x:v>0.0045</x:v>
      </x:c>
      <x:c r="Q85" s="7">
        <x:f>IF(O85="","",O85/10*P85)</x:f>
      </x:c>
    </x:row>
    <x:row r="86">
      <x:c r="A86" s="4" t="inlineStr">
        <x:is>
          <x:t xml:space="preserve">D4</x:t>
        </x:is>
      </x:c>
      <x:c r="B86" s="4" t="inlineStr">
        <x:is>
          <x:t xml:space="preserve">Operation Phase</x:t>
        </x:is>
      </x:c>
      <x:c r="C86" s="5" t="n">
        <x:v>0.1</x:v>
      </x:c>
      <x:c r="D86" s="4" t="inlineStr">
        <x:is>
          <x:t xml:space="preserve">D4_C3</x:t>
        </x:is>
      </x:c>
      <x:c r="E86" s="4" t="inlineStr">
        <x:is>
          <x:t xml:space="preserve">Operational Insurance</x:t>
        </x:is>
      </x:c>
      <x:c r="F86" s="5" t="n">
        <x:v>0.2</x:v>
      </x:c>
      <x:c r="G86" s="4" t="inlineStr">
        <x:is>
          <x:t xml:space="preserve">D4_SC6</x:t>
        </x:is>
      </x:c>
      <x:c r="H86" s="4" t="inlineStr">
        <x:is>
          <x:t xml:space="preserve">Coverage</x:t>
        </x:is>
      </x:c>
      <x:c r="I86" s="5" t="n">
        <x:v>1</x:v>
      </x:c>
      <x:c r="J86" s="4" t="inlineStr">
        <x:is>
          <x:t xml:space="preserve">D4_SS16</x:t>
        </x:is>
      </x:c>
      <x:c r="K86" s="4" t="inlineStr">
        <x:is>
          <x:t xml:space="preserve">Adéquation couverture exploitation</x:t>
        </x:is>
      </x:c>
      <x:c r="L86" s="5" t="n">
        <x:v>0.35</x:v>
      </x:c>
      <x:c r="M86" s="4" t="inlineStr">
        <x:is>
          <x:t xml:space="preserve"/>
        </x:is>
      </x:c>
      <x:c r="N86" s="4" t="inlineStr">
        <x:is>
          <x:t xml:space="preserve"/>
        </x:is>
      </x:c>
      <x:c r="O86" s="6" t="n"/>
      <x:c r="P86" s="5">
        <x:f>C86*F86*I86*L86</x:f>
        <x:v>0.007000000000000001</x:v>
      </x:c>
      <x:c r="Q86" s="7">
        <x:f>IF(O86="","",O86/10*P86)</x:f>
      </x:c>
    </x:row>
    <x:row r="87">
      <x:c r="A87" s="4" t="inlineStr">
        <x:is>
          <x:t xml:space="preserve">D4</x:t>
        </x:is>
      </x:c>
      <x:c r="B87" s="4" t="inlineStr">
        <x:is>
          <x:t xml:space="preserve">Operation Phase</x:t>
        </x:is>
      </x:c>
      <x:c r="C87" s="5" t="n">
        <x:v>0.1</x:v>
      </x:c>
      <x:c r="D87" s="4" t="inlineStr">
        <x:is>
          <x:t xml:space="preserve">D4_C3</x:t>
        </x:is>
      </x:c>
      <x:c r="E87" s="4" t="inlineStr">
        <x:is>
          <x:t xml:space="preserve">Operational Insurance</x:t>
        </x:is>
      </x:c>
      <x:c r="F87" s="5" t="n">
        <x:v>0.2</x:v>
      </x:c>
      <x:c r="G87" s="4" t="inlineStr">
        <x:is>
          <x:t xml:space="preserve">D4_SC6</x:t>
        </x:is>
      </x:c>
      <x:c r="H87" s="4" t="inlineStr">
        <x:is>
          <x:t xml:space="preserve">Coverage</x:t>
        </x:is>
      </x:c>
      <x:c r="I87" s="5" t="n">
        <x:v>1</x:v>
      </x:c>
      <x:c r="J87" s="4" t="inlineStr">
        <x:is>
          <x:t xml:space="preserve">D4_SS17</x:t>
        </x:is>
      </x:c>
      <x:c r="K87" s="4" t="inlineStr">
        <x:is>
          <x:t xml:space="preserve">Pertes d'exploitation / BI</x:t>
        </x:is>
      </x:c>
      <x:c r="L87" s="5" t="n">
        <x:v>0.35</x:v>
      </x:c>
      <x:c r="M87" s="4" t="inlineStr">
        <x:is>
          <x:t xml:space="preserve"/>
        </x:is>
      </x:c>
      <x:c r="N87" s="4" t="inlineStr">
        <x:is>
          <x:t xml:space="preserve"/>
        </x:is>
      </x:c>
      <x:c r="O87" s="6" t="n"/>
      <x:c r="P87" s="5">
        <x:f>C87*F87*I87*L87</x:f>
        <x:v>0.007000000000000001</x:v>
      </x:c>
      <x:c r="Q87" s="7">
        <x:f>IF(O87="","",O87/10*P87)</x:f>
      </x:c>
    </x:row>
    <x:row r="88">
      <x:c r="A88" s="4" t="inlineStr">
        <x:is>
          <x:t xml:space="preserve">D4</x:t>
        </x:is>
      </x:c>
      <x:c r="B88" s="4" t="inlineStr">
        <x:is>
          <x:t xml:space="preserve">Operation Phase</x:t>
        </x:is>
      </x:c>
      <x:c r="C88" s="5" t="n">
        <x:v>0.1</x:v>
      </x:c>
      <x:c r="D88" s="4" t="inlineStr">
        <x:is>
          <x:t xml:space="preserve">D4_C3</x:t>
        </x:is>
      </x:c>
      <x:c r="E88" s="4" t="inlineStr">
        <x:is>
          <x:t xml:space="preserve">Operational Insurance</x:t>
        </x:is>
      </x:c>
      <x:c r="F88" s="5" t="n">
        <x:v>0.2</x:v>
      </x:c>
      <x:c r="G88" s="4" t="inlineStr">
        <x:is>
          <x:t xml:space="preserve">D4_SC6</x:t>
        </x:is>
      </x:c>
      <x:c r="H88" s="4" t="inlineStr">
        <x:is>
          <x:t xml:space="preserve">Coverage</x:t>
        </x:is>
      </x:c>
      <x:c r="I88" s="5" t="n">
        <x:v>1</x:v>
      </x:c>
      <x:c r="J88" s="4" t="inlineStr">
        <x:is>
          <x:t xml:space="preserve">D4_SS18</x:t>
        </x:is>
      </x:c>
      <x:c r="K88" s="4" t="inlineStr">
        <x:is>
          <x:t xml:space="preserve">Qualité programme assurances</x:t>
        </x:is>
      </x:c>
      <x:c r="L88" s="5" t="n">
        <x:v>0.3</x:v>
      </x:c>
      <x:c r="M88" s="4" t="inlineStr">
        <x:is>
          <x:t xml:space="preserve"/>
        </x:is>
      </x:c>
      <x:c r="N88" s="4" t="inlineStr">
        <x:is>
          <x:t xml:space="preserve"/>
        </x:is>
      </x:c>
      <x:c r="O88" s="6" t="n"/>
      <x:c r="P88" s="5">
        <x:f>C88*F88*I88*L88</x:f>
        <x:v>0.006000000000000001</x:v>
      </x:c>
      <x:c r="Q88" s="7">
        <x:f>IF(O88="","",O88/10*P88)</x:f>
      </x:c>
    </x:row>
    <x:row r="89">
      <x:c r="A89" s="4" t="inlineStr">
        <x:is>
          <x:t xml:space="preserve">D5</x:t>
        </x:is>
      </x:c>
      <x:c r="B89" s="4" t="inlineStr">
        <x:is>
          <x:t xml:space="preserve">Financial Structure</x:t>
        </x:is>
      </x:c>
      <x:c r="C89" s="5" t="n">
        <x:v>0.15</x:v>
      </x:c>
      <x:c r="D89" s="4" t="inlineStr">
        <x:is>
          <x:t xml:space="preserve">D5_C1</x:t>
        </x:is>
      </x:c>
      <x:c r="E89" s="4" t="inlineStr">
        <x:is>
          <x:t xml:space="preserve">Leverage &amp; Capital Structure</x:t>
        </x:is>
      </x:c>
      <x:c r="F89" s="5" t="n">
        <x:v>0.35</x:v>
      </x:c>
      <x:c r="G89" s="4" t="inlineStr">
        <x:is>
          <x:t xml:space="preserve">D5_SC1</x:t>
        </x:is>
      </x:c>
      <x:c r="H89" s="4" t="inlineStr">
        <x:is>
          <x:t xml:space="preserve">Capital structure</x:t>
        </x:is>
      </x:c>
      <x:c r="I89" s="5" t="n">
        <x:v>0.5</x:v>
      </x:c>
      <x:c r="J89" s="4" t="inlineStr">
        <x:is>
          <x:t xml:space="preserve">D5_SS1</x:t>
        </x:is>
      </x:c>
      <x:c r="K89" s="4" t="inlineStr">
        <x:is>
          <x:t xml:space="preserve">Niveau d'endettement</x:t>
        </x:is>
      </x:c>
      <x:c r="L89" s="5" t="n">
        <x:v>0.4</x:v>
      </x:c>
      <x:c r="M89" s="4" t="inlineStr">
        <x:is>
          <x:t xml:space="preserve"/>
        </x:is>
      </x:c>
      <x:c r="N89" s="4" t="inlineStr">
        <x:is>
          <x:t xml:space="preserve"/>
        </x:is>
      </x:c>
      <x:c r="O89" s="6" t="n"/>
      <x:c r="P89" s="5">
        <x:f>C89*F89*I89*L89</x:f>
        <x:v>0.0105</x:v>
      </x:c>
      <x:c r="Q89" s="7">
        <x:f>IF(O89="","",O89/10*P89)</x:f>
      </x:c>
    </x:row>
    <x:row r="90">
      <x:c r="A90" s="4" t="inlineStr">
        <x:is>
          <x:t xml:space="preserve">D5</x:t>
        </x:is>
      </x:c>
      <x:c r="B90" s="4" t="inlineStr">
        <x:is>
          <x:t xml:space="preserve">Financial Structure</x:t>
        </x:is>
      </x:c>
      <x:c r="C90" s="5" t="n">
        <x:v>0.15</x:v>
      </x:c>
      <x:c r="D90" s="4" t="inlineStr">
        <x:is>
          <x:t xml:space="preserve">D5_C1</x:t>
        </x:is>
      </x:c>
      <x:c r="E90" s="4" t="inlineStr">
        <x:is>
          <x:t xml:space="preserve">Leverage &amp; Capital Structure</x:t>
        </x:is>
      </x:c>
      <x:c r="F90" s="5" t="n">
        <x:v>0.35</x:v>
      </x:c>
      <x:c r="G90" s="4" t="inlineStr">
        <x:is>
          <x:t xml:space="preserve">D5_SC1</x:t>
        </x:is>
      </x:c>
      <x:c r="H90" s="4" t="inlineStr">
        <x:is>
          <x:t xml:space="preserve">Capital structure</x:t>
        </x:is>
      </x:c>
      <x:c r="I90" s="5" t="n">
        <x:v>0.5</x:v>
      </x:c>
      <x:c r="J90" s="4" t="inlineStr">
        <x:is>
          <x:t xml:space="preserve">D5_SS2</x:t>
        </x:is>
      </x:c>
      <x:c r="K90" s="4" t="inlineStr">
        <x:is>
          <x:t xml:space="preserve">Part des fonds propres</x:t>
        </x:is>
      </x:c>
      <x:c r="L90" s="5" t="n">
        <x:v>0.35</x:v>
      </x:c>
      <x:c r="M90" s="4" t="inlineStr">
        <x:is>
          <x:t xml:space="preserve"/>
        </x:is>
      </x:c>
      <x:c r="N90" s="4" t="inlineStr">
        <x:is>
          <x:t xml:space="preserve"/>
        </x:is>
      </x:c>
      <x:c r="O90" s="6" t="n"/>
      <x:c r="P90" s="5">
        <x:f>C90*F90*I90*L90</x:f>
        <x:v>0.0091875</x:v>
      </x:c>
      <x:c r="Q90" s="7">
        <x:f>IF(O90="","",O90/10*P90)</x:f>
      </x:c>
    </x:row>
    <x:row r="91">
      <x:c r="A91" s="4" t="inlineStr">
        <x:is>
          <x:t xml:space="preserve">D5</x:t>
        </x:is>
      </x:c>
      <x:c r="B91" s="4" t="inlineStr">
        <x:is>
          <x:t xml:space="preserve">Financial Structure</x:t>
        </x:is>
      </x:c>
      <x:c r="C91" s="5" t="n">
        <x:v>0.15</x:v>
      </x:c>
      <x:c r="D91" s="4" t="inlineStr">
        <x:is>
          <x:t xml:space="preserve">D5_C1</x:t>
        </x:is>
      </x:c>
      <x:c r="E91" s="4" t="inlineStr">
        <x:is>
          <x:t xml:space="preserve">Leverage &amp; Capital Structure</x:t>
        </x:is>
      </x:c>
      <x:c r="F91" s="5" t="n">
        <x:v>0.35</x:v>
      </x:c>
      <x:c r="G91" s="4" t="inlineStr">
        <x:is>
          <x:t xml:space="preserve">D5_SC1</x:t>
        </x:is>
      </x:c>
      <x:c r="H91" s="4" t="inlineStr">
        <x:is>
          <x:t xml:space="preserve">Capital structure</x:t>
        </x:is>
      </x:c>
      <x:c r="I91" s="5" t="n">
        <x:v>0.5</x:v>
      </x:c>
      <x:c r="J91" s="4" t="inlineStr">
        <x:is>
          <x:t xml:space="preserve">D5_SS3</x:t>
        </x:is>
      </x:c>
      <x:c r="K91" s="4" t="inlineStr">
        <x:is>
          <x:t xml:space="preserve">Qualité quasi-fonds propres</x:t>
        </x:is>
      </x:c>
      <x:c r="L91" s="5" t="n">
        <x:v>0.25</x:v>
      </x:c>
      <x:c r="M91" s="4" t="inlineStr">
        <x:is>
          <x:t xml:space="preserve"/>
        </x:is>
      </x:c>
      <x:c r="N91" s="4" t="inlineStr">
        <x:is>
          <x:t xml:space="preserve"/>
        </x:is>
      </x:c>
      <x:c r="O91" s="6" t="n"/>
      <x:c r="P91" s="5">
        <x:f>C91*F91*I91*L91</x:f>
        <x:v>0.0065625</x:v>
      </x:c>
      <x:c r="Q91" s="7">
        <x:f>IF(O91="","",O91/10*P91)</x:f>
      </x:c>
    </x:row>
    <x:row r="92">
      <x:c r="A92" s="4" t="inlineStr">
        <x:is>
          <x:t xml:space="preserve">D5</x:t>
        </x:is>
      </x:c>
      <x:c r="B92" s="4" t="inlineStr">
        <x:is>
          <x:t xml:space="preserve">Financial Structure</x:t>
        </x:is>
      </x:c>
      <x:c r="C92" s="5" t="n">
        <x:v>0.15</x:v>
      </x:c>
      <x:c r="D92" s="4" t="inlineStr">
        <x:is>
          <x:t xml:space="preserve">D5_C1</x:t>
        </x:is>
      </x:c>
      <x:c r="E92" s="4" t="inlineStr">
        <x:is>
          <x:t xml:space="preserve">Leverage &amp; Capital Structure</x:t>
        </x:is>
      </x:c>
      <x:c r="F92" s="5" t="n">
        <x:v>0.35</x:v>
      </x:c>
      <x:c r="G92" s="4" t="inlineStr">
        <x:is>
          <x:t xml:space="preserve">D5_SC2</x:t>
        </x:is>
      </x:c>
      <x:c r="H92" s="4" t="inlineStr">
        <x:is>
          <x:t xml:space="preserve">Debt profile</x:t>
        </x:is>
      </x:c>
      <x:c r="I92" s="5" t="n">
        <x:v>0.5</x:v>
      </x:c>
      <x:c r="J92" s="4" t="inlineStr">
        <x:is>
          <x:t xml:space="preserve">D5_SS4</x:t>
        </x:is>
      </x:c>
      <x:c r="K92" s="4" t="inlineStr">
        <x:is>
          <x:t xml:space="preserve">Maturité / amortissement</x:t>
        </x:is>
      </x:c>
      <x:c r="L92" s="5" t="n">
        <x:v>0.35</x:v>
      </x:c>
      <x:c r="M92" s="4" t="inlineStr">
        <x:is>
          <x:t xml:space="preserve"/>
        </x:is>
      </x:c>
      <x:c r="N92" s="4" t="inlineStr">
        <x:is>
          <x:t xml:space="preserve"/>
        </x:is>
      </x:c>
      <x:c r="O92" s="6" t="n"/>
      <x:c r="P92" s="5">
        <x:f>C92*F92*I92*L92</x:f>
        <x:v>0.0091875</x:v>
      </x:c>
      <x:c r="Q92" s="7">
        <x:f>IF(O92="","",O92/10*P92)</x:f>
      </x:c>
    </x:row>
    <x:row r="93">
      <x:c r="A93" s="4" t="inlineStr">
        <x:is>
          <x:t xml:space="preserve">D5</x:t>
        </x:is>
      </x:c>
      <x:c r="B93" s="4" t="inlineStr">
        <x:is>
          <x:t xml:space="preserve">Financial Structure</x:t>
        </x:is>
      </x:c>
      <x:c r="C93" s="5" t="n">
        <x:v>0.15</x:v>
      </x:c>
      <x:c r="D93" s="4" t="inlineStr">
        <x:is>
          <x:t xml:space="preserve">D5_C1</x:t>
        </x:is>
      </x:c>
      <x:c r="E93" s="4" t="inlineStr">
        <x:is>
          <x:t xml:space="preserve">Leverage &amp; Capital Structure</x:t>
        </x:is>
      </x:c>
      <x:c r="F93" s="5" t="n">
        <x:v>0.35</x:v>
      </x:c>
      <x:c r="G93" s="4" t="inlineStr">
        <x:is>
          <x:t xml:space="preserve">D5_SC2</x:t>
        </x:is>
      </x:c>
      <x:c r="H93" s="4" t="inlineStr">
        <x:is>
          <x:t xml:space="preserve">Debt profile</x:t>
        </x:is>
      </x:c>
      <x:c r="I93" s="5" t="n">
        <x:v>0.5</x:v>
      </x:c>
      <x:c r="J93" s="4" t="inlineStr">
        <x:is>
          <x:t xml:space="preserve">D5_SS5</x:t>
        </x:is>
      </x:c>
      <x:c r="K93" s="4" t="inlineStr">
        <x:is>
          <x:t xml:space="preserve">Risque de refinancement</x:t>
        </x:is>
      </x:c>
      <x:c r="L93" s="5" t="n">
        <x:v>0.35</x:v>
      </x:c>
      <x:c r="M93" s="4" t="inlineStr">
        <x:is>
          <x:t xml:space="preserve"/>
        </x:is>
      </x:c>
      <x:c r="N93" s="4" t="inlineStr">
        <x:is>
          <x:t xml:space="preserve"/>
        </x:is>
      </x:c>
      <x:c r="O93" s="6" t="n"/>
      <x:c r="P93" s="5">
        <x:f>C93*F93*I93*L93</x:f>
        <x:v>0.0091875</x:v>
      </x:c>
      <x:c r="Q93" s="7">
        <x:f>IF(O93="","",O93/10*P93)</x:f>
      </x:c>
    </x:row>
    <x:row r="94">
      <x:c r="A94" s="4" t="inlineStr">
        <x:is>
          <x:t xml:space="preserve">D5</x:t>
        </x:is>
      </x:c>
      <x:c r="B94" s="4" t="inlineStr">
        <x:is>
          <x:t xml:space="preserve">Financial Structure</x:t>
        </x:is>
      </x:c>
      <x:c r="C94" s="5" t="n">
        <x:v>0.15</x:v>
      </x:c>
      <x:c r="D94" s="4" t="inlineStr">
        <x:is>
          <x:t xml:space="preserve">D5_C1</x:t>
        </x:is>
      </x:c>
      <x:c r="E94" s="4" t="inlineStr">
        <x:is>
          <x:t xml:space="preserve">Leverage &amp; Capital Structure</x:t>
        </x:is>
      </x:c>
      <x:c r="F94" s="5" t="n">
        <x:v>0.35</x:v>
      </x:c>
      <x:c r="G94" s="4" t="inlineStr">
        <x:is>
          <x:t xml:space="preserve">D5_SC2</x:t>
        </x:is>
      </x:c>
      <x:c r="H94" s="4" t="inlineStr">
        <x:is>
          <x:t xml:space="preserve">Debt profile</x:t>
        </x:is>
      </x:c>
      <x:c r="I94" s="5" t="n">
        <x:v>0.5</x:v>
      </x:c>
      <x:c r="J94" s="4" t="inlineStr">
        <x:is>
          <x:t xml:space="preserve">D5_SS6</x:t>
        </x:is>
      </x:c>
      <x:c r="K94" s="4" t="inlineStr">
        <x:is>
          <x:t xml:space="preserve">Exposition taux / devise</x:t>
        </x:is>
      </x:c>
      <x:c r="L94" s="5" t="n">
        <x:v>0.3</x:v>
      </x:c>
      <x:c r="M94" s="4" t="inlineStr">
        <x:is>
          <x:t xml:space="preserve"/>
        </x:is>
      </x:c>
      <x:c r="N94" s="4" t="inlineStr">
        <x:is>
          <x:t xml:space="preserve"/>
        </x:is>
      </x:c>
      <x:c r="O94" s="6" t="n"/>
      <x:c r="P94" s="5">
        <x:f>C94*F94*I94*L94</x:f>
        <x:v>0.007875</x:v>
      </x:c>
      <x:c r="Q94" s="7">
        <x:f>IF(O94="","",O94/10*P94)</x:f>
      </x:c>
    </x:row>
    <x:row r="95">
      <x:c r="A95" s="4" t="inlineStr">
        <x:is>
          <x:t xml:space="preserve">D5</x:t>
        </x:is>
      </x:c>
      <x:c r="B95" s="4" t="inlineStr">
        <x:is>
          <x:t xml:space="preserve">Financial Structure</x:t>
        </x:is>
      </x:c>
      <x:c r="C95" s="5" t="n">
        <x:v>0.15</x:v>
      </x:c>
      <x:c r="D95" s="4" t="inlineStr">
        <x:is>
          <x:t xml:space="preserve">D5_C2</x:t>
        </x:is>
      </x:c>
      <x:c r="E95" s="4" t="inlineStr">
        <x:is>
          <x:t xml:space="preserve">Cash Flow Coverage</x:t>
        </x:is>
      </x:c>
      <x:c r="F95" s="5" t="n">
        <x:v>0.4</x:v>
      </x:c>
      <x:c r="G95" s="4" t="inlineStr">
        <x:is>
          <x:t xml:space="preserve">D5_SC3</x:t>
        </x:is>
      </x:c>
      <x:c r="H95" s="4" t="inlineStr">
        <x:is>
          <x:t xml:space="preserve">Base case coverage</x:t>
        </x:is>
      </x:c>
      <x:c r="I95" s="5" t="n">
        <x:v>0.45</x:v>
      </x:c>
      <x:c r="J95" s="4" t="inlineStr">
        <x:is>
          <x:t xml:space="preserve">D5_SS7</x:t>
        </x:is>
      </x:c>
      <x:c r="K95" s="4" t="inlineStr">
        <x:is>
          <x:t xml:space="preserve">DSCR moyen</x:t>
        </x:is>
      </x:c>
      <x:c r="L95" s="5" t="n">
        <x:v>0.35</x:v>
      </x:c>
      <x:c r="M95" s="4" t="inlineStr">
        <x:is>
          <x:t xml:space="preserve"/>
        </x:is>
      </x:c>
      <x:c r="N95" s="4" t="inlineStr">
        <x:is>
          <x:t xml:space="preserve"/>
        </x:is>
      </x:c>
      <x:c r="O95" s="6" t="n"/>
      <x:c r="P95" s="5">
        <x:f>C95*F95*I95*L95</x:f>
        <x:v>0.00945</x:v>
      </x:c>
      <x:c r="Q95" s="7">
        <x:f>IF(O95="","",O95/10*P95)</x:f>
      </x:c>
    </x:row>
    <x:row r="96">
      <x:c r="A96" s="4" t="inlineStr">
        <x:is>
          <x:t xml:space="preserve">D5</x:t>
        </x:is>
      </x:c>
      <x:c r="B96" s="4" t="inlineStr">
        <x:is>
          <x:t xml:space="preserve">Financial Structure</x:t>
        </x:is>
      </x:c>
      <x:c r="C96" s="5" t="n">
        <x:v>0.15</x:v>
      </x:c>
      <x:c r="D96" s="4" t="inlineStr">
        <x:is>
          <x:t xml:space="preserve">D5_C2</x:t>
        </x:is>
      </x:c>
      <x:c r="E96" s="4" t="inlineStr">
        <x:is>
          <x:t xml:space="preserve">Cash Flow Coverage</x:t>
        </x:is>
      </x:c>
      <x:c r="F96" s="5" t="n">
        <x:v>0.4</x:v>
      </x:c>
      <x:c r="G96" s="4" t="inlineStr">
        <x:is>
          <x:t xml:space="preserve">D5_SC3</x:t>
        </x:is>
      </x:c>
      <x:c r="H96" s="4" t="inlineStr">
        <x:is>
          <x:t xml:space="preserve">Base case coverage</x:t>
        </x:is>
      </x:c>
      <x:c r="I96" s="5" t="n">
        <x:v>0.45</x:v>
      </x:c>
      <x:c r="J96" s="4" t="inlineStr">
        <x:is>
          <x:t xml:space="preserve">D5_SS8</x:t>
        </x:is>
      </x:c>
      <x:c r="K96" s="4" t="inlineStr">
        <x:is>
          <x:t xml:space="preserve">LLCR / PLCR</x:t>
        </x:is>
      </x:c>
      <x:c r="L96" s="5" t="n">
        <x:v>0.35</x:v>
      </x:c>
      <x:c r="M96" s="4" t="inlineStr">
        <x:is>
          <x:t xml:space="preserve"/>
        </x:is>
      </x:c>
      <x:c r="N96" s="4" t="inlineStr">
        <x:is>
          <x:t xml:space="preserve"/>
        </x:is>
      </x:c>
      <x:c r="O96" s="6" t="n"/>
      <x:c r="P96" s="5">
        <x:f>C96*F96*I96*L96</x:f>
        <x:v>0.00945</x:v>
      </x:c>
      <x:c r="Q96" s="7">
        <x:f>IF(O96="","",O96/10*P96)</x:f>
      </x:c>
    </x:row>
    <x:row r="97">
      <x:c r="A97" s="4" t="inlineStr">
        <x:is>
          <x:t xml:space="preserve">D5</x:t>
        </x:is>
      </x:c>
      <x:c r="B97" s="4" t="inlineStr">
        <x:is>
          <x:t xml:space="preserve">Financial Structure</x:t>
        </x:is>
      </x:c>
      <x:c r="C97" s="5" t="n">
        <x:v>0.15</x:v>
      </x:c>
      <x:c r="D97" s="4" t="inlineStr">
        <x:is>
          <x:t xml:space="preserve">D5_C2</x:t>
        </x:is>
      </x:c>
      <x:c r="E97" s="4" t="inlineStr">
        <x:is>
          <x:t xml:space="preserve">Cash Flow Coverage</x:t>
        </x:is>
      </x:c>
      <x:c r="F97" s="5" t="n">
        <x:v>0.4</x:v>
      </x:c>
      <x:c r="G97" s="4" t="inlineStr">
        <x:is>
          <x:t xml:space="preserve">D5_SC3</x:t>
        </x:is>
      </x:c>
      <x:c r="H97" s="4" t="inlineStr">
        <x:is>
          <x:t xml:space="preserve">Base case coverage</x:t>
        </x:is>
      </x:c>
      <x:c r="I97" s="5" t="n">
        <x:v>0.45</x:v>
      </x:c>
      <x:c r="J97" s="4" t="inlineStr">
        <x:is>
          <x:t xml:space="preserve">D5_SS9</x:t>
        </x:is>
      </x:c>
      <x:c r="K97" s="4" t="inlineStr">
        <x:is>
          <x:t xml:space="preserve">Marge de sécurité cash flow</x:t>
        </x:is>
      </x:c>
      <x:c r="L97" s="5" t="n">
        <x:v>0.3</x:v>
      </x:c>
      <x:c r="M97" s="4" t="inlineStr">
        <x:is>
          <x:t xml:space="preserve"/>
        </x:is>
      </x:c>
      <x:c r="N97" s="4" t="inlineStr">
        <x:is>
          <x:t xml:space="preserve"/>
        </x:is>
      </x:c>
      <x:c r="O97" s="6" t="n"/>
      <x:c r="P97" s="5">
        <x:f>C97*F97*I97*L97</x:f>
        <x:v>0.0081</x:v>
      </x:c>
      <x:c r="Q97" s="7">
        <x:f>IF(O97="","",O97/10*P97)</x:f>
      </x:c>
    </x:row>
    <x:row r="98">
      <x:c r="A98" s="4" t="inlineStr">
        <x:is>
          <x:t xml:space="preserve">D5</x:t>
        </x:is>
      </x:c>
      <x:c r="B98" s="4" t="inlineStr">
        <x:is>
          <x:t xml:space="preserve">Financial Structure</x:t>
        </x:is>
      </x:c>
      <x:c r="C98" s="5" t="n">
        <x:v>0.15</x:v>
      </x:c>
      <x:c r="D98" s="4" t="inlineStr">
        <x:is>
          <x:t xml:space="preserve">D5_C2</x:t>
        </x:is>
      </x:c>
      <x:c r="E98" s="4" t="inlineStr">
        <x:is>
          <x:t xml:space="preserve">Cash Flow Coverage</x:t>
        </x:is>
      </x:c>
      <x:c r="F98" s="5" t="n">
        <x:v>0.4</x:v>
      </x:c>
      <x:c r="G98" s="4" t="inlineStr">
        <x:is>
          <x:t xml:space="preserve">D5_SC4</x:t>
        </x:is>
      </x:c>
      <x:c r="H98" s="4" t="inlineStr">
        <x:is>
          <x:t xml:space="preserve">Stress resilience</x:t>
        </x:is>
      </x:c>
      <x:c r="I98" s="5" t="n">
        <x:v>0.35</x:v>
      </x:c>
      <x:c r="J98" s="4" t="inlineStr">
        <x:is>
          <x:t xml:space="preserve">D5_SS10</x:t>
        </x:is>
      </x:c>
      <x:c r="K98" s="4" t="inlineStr">
        <x:is>
          <x:t xml:space="preserve">DSCR en stress</x:t>
        </x:is>
      </x:c>
      <x:c r="L98" s="5" t="n">
        <x:v>0.4</x:v>
      </x:c>
      <x:c r="M98" s="4" t="inlineStr">
        <x:is>
          <x:t xml:space="preserve"/>
        </x:is>
      </x:c>
      <x:c r="N98" s="4" t="inlineStr">
        <x:is>
          <x:t xml:space="preserve"/>
        </x:is>
      </x:c>
      <x:c r="O98" s="6" t="n"/>
      <x:c r="P98" s="5">
        <x:f>C98*F98*I98*L98</x:f>
        <x:v>0.0084</x:v>
      </x:c>
      <x:c r="Q98" s="7">
        <x:f>IF(O98="","",O98/10*P98)</x:f>
      </x:c>
    </x:row>
    <x:row r="99">
      <x:c r="A99" s="4" t="inlineStr">
        <x:is>
          <x:t xml:space="preserve">D5</x:t>
        </x:is>
      </x:c>
      <x:c r="B99" s="4" t="inlineStr">
        <x:is>
          <x:t xml:space="preserve">Financial Structure</x:t>
        </x:is>
      </x:c>
      <x:c r="C99" s="5" t="n">
        <x:v>0.15</x:v>
      </x:c>
      <x:c r="D99" s="4" t="inlineStr">
        <x:is>
          <x:t xml:space="preserve">D5_C2</x:t>
        </x:is>
      </x:c>
      <x:c r="E99" s="4" t="inlineStr">
        <x:is>
          <x:t xml:space="preserve">Cash Flow Coverage</x:t>
        </x:is>
      </x:c>
      <x:c r="F99" s="5" t="n">
        <x:v>0.4</x:v>
      </x:c>
      <x:c r="G99" s="4" t="inlineStr">
        <x:is>
          <x:t xml:space="preserve">D5_SC4</x:t>
        </x:is>
      </x:c>
      <x:c r="H99" s="4" t="inlineStr">
        <x:is>
          <x:t xml:space="preserve">Stress resilience</x:t>
        </x:is>
      </x:c>
      <x:c r="I99" s="5" t="n">
        <x:v>0.35</x:v>
      </x:c>
      <x:c r="J99" s="4" t="inlineStr">
        <x:is>
          <x:t xml:space="preserve">D5_SS11</x:t>
        </x:is>
      </x:c>
      <x:c r="K99" s="4" t="inlineStr">
        <x:is>
          <x:t xml:space="preserve">Sensibilité volume/prix/coûts</x:t>
        </x:is>
      </x:c>
      <x:c r="L99" s="5" t="n">
        <x:v>0.35</x:v>
      </x:c>
      <x:c r="M99" s="4" t="inlineStr">
        <x:is>
          <x:t xml:space="preserve"/>
        </x:is>
      </x:c>
      <x:c r="N99" s="4" t="inlineStr">
        <x:is>
          <x:t xml:space="preserve"/>
        </x:is>
      </x:c>
      <x:c r="O99" s="6" t="n"/>
      <x:c r="P99" s="5">
        <x:f>C99*F99*I99*L99</x:f>
        <x:v>0.007349999999999999</x:v>
      </x:c>
      <x:c r="Q99" s="7">
        <x:f>IF(O99="","",O99/10*P99)</x:f>
      </x:c>
    </x:row>
    <x:row r="100">
      <x:c r="A100" s="4" t="inlineStr">
        <x:is>
          <x:t xml:space="preserve">D5</x:t>
        </x:is>
      </x:c>
      <x:c r="B100" s="4" t="inlineStr">
        <x:is>
          <x:t xml:space="preserve">Financial Structure</x:t>
        </x:is>
      </x:c>
      <x:c r="C100" s="5" t="n">
        <x:v>0.15</x:v>
      </x:c>
      <x:c r="D100" s="4" t="inlineStr">
        <x:is>
          <x:t xml:space="preserve">D5_C2</x:t>
        </x:is>
      </x:c>
      <x:c r="E100" s="4" t="inlineStr">
        <x:is>
          <x:t xml:space="preserve">Cash Flow Coverage</x:t>
        </x:is>
      </x:c>
      <x:c r="F100" s="5" t="n">
        <x:v>0.4</x:v>
      </x:c>
      <x:c r="G100" s="4" t="inlineStr">
        <x:is>
          <x:t xml:space="preserve">D5_SC4</x:t>
        </x:is>
      </x:c>
      <x:c r="H100" s="4" t="inlineStr">
        <x:is>
          <x:t xml:space="preserve">Stress resilience</x:t>
        </x:is>
      </x:c>
      <x:c r="I100" s="5" t="n">
        <x:v>0.35</x:v>
      </x:c>
      <x:c r="J100" s="4" t="inlineStr">
        <x:is>
          <x:t xml:space="preserve">D5_SS12</x:t>
        </x:is>
      </x:c>
      <x:c r="K100" s="4" t="inlineStr">
        <x:is>
          <x:t xml:space="preserve">Break-even robustness</x:t>
        </x:is>
      </x:c>
      <x:c r="L100" s="5" t="n">
        <x:v>0.25</x:v>
      </x:c>
      <x:c r="M100" s="4" t="inlineStr">
        <x:is>
          <x:t xml:space="preserve"/>
        </x:is>
      </x:c>
      <x:c r="N100" s="4" t="inlineStr">
        <x:is>
          <x:t xml:space="preserve"/>
        </x:is>
      </x:c>
      <x:c r="O100" s="6" t="n"/>
      <x:c r="P100" s="5">
        <x:f>C100*F100*I100*L100</x:f>
        <x:v>0.0052499999999999995</x:v>
      </x:c>
      <x:c r="Q100" s="7">
        <x:f>IF(O100="","",O100/10*P100)</x:f>
      </x:c>
    </x:row>
    <x:row r="101">
      <x:c r="A101" s="4" t="inlineStr">
        <x:is>
          <x:t xml:space="preserve">D5</x:t>
        </x:is>
      </x:c>
      <x:c r="B101" s="4" t="inlineStr">
        <x:is>
          <x:t xml:space="preserve">Financial Structure</x:t>
        </x:is>
      </x:c>
      <x:c r="C101" s="5" t="n">
        <x:v>0.15</x:v>
      </x:c>
      <x:c r="D101" s="4" t="inlineStr">
        <x:is>
          <x:t xml:space="preserve">D5_C2</x:t>
        </x:is>
      </x:c>
      <x:c r="E101" s="4" t="inlineStr">
        <x:is>
          <x:t xml:space="preserve">Cash Flow Coverage</x:t>
        </x:is>
      </x:c>
      <x:c r="F101" s="5" t="n">
        <x:v>0.4</x:v>
      </x:c>
      <x:c r="G101" s="4" t="inlineStr">
        <x:is>
          <x:t xml:space="preserve">D5_SC5</x:t>
        </x:is>
      </x:c>
      <x:c r="H101" s="4" t="inlineStr">
        <x:is>
          <x:t xml:space="preserve">Liquidity support</x:t>
        </x:is>
      </x:c>
      <x:c r="I101" s="5" t="n">
        <x:v>0.2</x:v>
      </x:c>
      <x:c r="J101" s="4" t="inlineStr">
        <x:is>
          <x:t xml:space="preserve">D5_SS13</x:t>
        </x:is>
      </x:c>
      <x:c r="K101" s="4" t="inlineStr">
        <x:is>
          <x:t xml:space="preserve">DSRA / réserves</x:t>
        </x:is>
      </x:c>
      <x:c r="L101" s="5" t="n">
        <x:v>0.4</x:v>
      </x:c>
      <x:c r="M101" s="4" t="inlineStr">
        <x:is>
          <x:t xml:space="preserve"/>
        </x:is>
      </x:c>
      <x:c r="N101" s="4" t="inlineStr">
        <x:is>
          <x:t xml:space="preserve"/>
        </x:is>
      </x:c>
      <x:c r="O101" s="6" t="n"/>
      <x:c r="P101" s="5">
        <x:f>C101*F101*I101*L101</x:f>
        <x:v>0.0048000000000000004</x:v>
      </x:c>
      <x:c r="Q101" s="7">
        <x:f>IF(O101="","",O101/10*P101)</x:f>
      </x:c>
    </x:row>
    <x:row r="102">
      <x:c r="A102" s="4" t="inlineStr">
        <x:is>
          <x:t xml:space="preserve">D5</x:t>
        </x:is>
      </x:c>
      <x:c r="B102" s="4" t="inlineStr">
        <x:is>
          <x:t xml:space="preserve">Financial Structure</x:t>
        </x:is>
      </x:c>
      <x:c r="C102" s="5" t="n">
        <x:v>0.15</x:v>
      </x:c>
      <x:c r="D102" s="4" t="inlineStr">
        <x:is>
          <x:t xml:space="preserve">D5_C2</x:t>
        </x:is>
      </x:c>
      <x:c r="E102" s="4" t="inlineStr">
        <x:is>
          <x:t xml:space="preserve">Cash Flow Coverage</x:t>
        </x:is>
      </x:c>
      <x:c r="F102" s="5" t="n">
        <x:v>0.4</x:v>
      </x:c>
      <x:c r="G102" s="4" t="inlineStr">
        <x:is>
          <x:t xml:space="preserve">D5_SC5</x:t>
        </x:is>
      </x:c>
      <x:c r="H102" s="4" t="inlineStr">
        <x:is>
          <x:t xml:space="preserve">Liquidity support</x:t>
        </x:is>
      </x:c>
      <x:c r="I102" s="5" t="n">
        <x:v>0.2</x:v>
      </x:c>
      <x:c r="J102" s="4" t="inlineStr">
        <x:is>
          <x:t xml:space="preserve">D5_SS14</x:t>
        </x:is>
      </x:c>
      <x:c r="K102" s="4" t="inlineStr">
        <x:is>
          <x:t xml:space="preserve">Standby facilities</x:t>
        </x:is>
      </x:c>
      <x:c r="L102" s="5" t="n">
        <x:v>0.3</x:v>
      </x:c>
      <x:c r="M102" s="4" t="inlineStr">
        <x:is>
          <x:t xml:space="preserve"/>
        </x:is>
      </x:c>
      <x:c r="N102" s="4" t="inlineStr">
        <x:is>
          <x:t xml:space="preserve"/>
        </x:is>
      </x:c>
      <x:c r="O102" s="6" t="n"/>
      <x:c r="P102" s="5">
        <x:f>C102*F102*I102*L102</x:f>
        <x:v>0.0036</x:v>
      </x:c>
      <x:c r="Q102" s="7">
        <x:f>IF(O102="","",O102/10*P102)</x:f>
      </x:c>
    </x:row>
    <x:row r="103">
      <x:c r="A103" s="4" t="inlineStr">
        <x:is>
          <x:t xml:space="preserve">D5</x:t>
        </x:is>
      </x:c>
      <x:c r="B103" s="4" t="inlineStr">
        <x:is>
          <x:t xml:space="preserve">Financial Structure</x:t>
        </x:is>
      </x:c>
      <x:c r="C103" s="5" t="n">
        <x:v>0.15</x:v>
      </x:c>
      <x:c r="D103" s="4" t="inlineStr">
        <x:is>
          <x:t xml:space="preserve">D5_C2</x:t>
        </x:is>
      </x:c>
      <x:c r="E103" s="4" t="inlineStr">
        <x:is>
          <x:t xml:space="preserve">Cash Flow Coverage</x:t>
        </x:is>
      </x:c>
      <x:c r="F103" s="5" t="n">
        <x:v>0.4</x:v>
      </x:c>
      <x:c r="G103" s="4" t="inlineStr">
        <x:is>
          <x:t xml:space="preserve">D5_SC5</x:t>
        </x:is>
      </x:c>
      <x:c r="H103" s="4" t="inlineStr">
        <x:is>
          <x:t xml:space="preserve">Liquidity support</x:t>
        </x:is>
      </x:c>
      <x:c r="I103" s="5" t="n">
        <x:v>0.2</x:v>
      </x:c>
      <x:c r="J103" s="4" t="inlineStr">
        <x:is>
          <x:t xml:space="preserve">D5_SS15</x:t>
        </x:is>
      </x:c>
      <x:c r="K103" s="4" t="inlineStr">
        <x:is>
          <x:t xml:space="preserve">Cash trap / waterfall discipline</x:t>
        </x:is>
      </x:c>
      <x:c r="L103" s="5" t="n">
        <x:v>0.3</x:v>
      </x:c>
      <x:c r="M103" s="4" t="inlineStr">
        <x:is>
          <x:t xml:space="preserve"/>
        </x:is>
      </x:c>
      <x:c r="N103" s="4" t="inlineStr">
        <x:is>
          <x:t xml:space="preserve"/>
        </x:is>
      </x:c>
      <x:c r="O103" s="6" t="n"/>
      <x:c r="P103" s="5">
        <x:f>C103*F103*I103*L103</x:f>
        <x:v>0.0036</x:v>
      </x:c>
      <x:c r="Q103" s="7">
        <x:f>IF(O103="","",O103/10*P103)</x:f>
      </x:c>
    </x:row>
    <x:row r="104">
      <x:c r="A104" s="4" t="inlineStr">
        <x:is>
          <x:t xml:space="preserve">D5</x:t>
        </x:is>
      </x:c>
      <x:c r="B104" s="4" t="inlineStr">
        <x:is>
          <x:t xml:space="preserve">Financial Structure</x:t>
        </x:is>
      </x:c>
      <x:c r="C104" s="5" t="n">
        <x:v>0.15</x:v>
      </x:c>
      <x:c r="D104" s="4" t="inlineStr">
        <x:is>
          <x:t xml:space="preserve">D5_C3</x:t>
        </x:is>
      </x:c>
      <x:c r="E104" s="4" t="inlineStr">
        <x:is>
          <x:t xml:space="preserve">Financial Flexibility &amp; Covenants</x:t>
        </x:is>
      </x:c>
      <x:c r="F104" s="5" t="n">
        <x:v>0.25</x:v>
      </x:c>
      <x:c r="G104" s="4" t="inlineStr">
        <x:is>
          <x:t xml:space="preserve">D5_SC6</x:t>
        </x:is>
      </x:c>
      <x:c r="H104" s="4" t="inlineStr">
        <x:is>
          <x:t xml:space="preserve">Covenants</x:t>
        </x:is>
      </x:c>
      <x:c r="I104" s="5" t="n">
        <x:v>0.5</x:v>
      </x:c>
      <x:c r="J104" s="4" t="inlineStr">
        <x:is>
          <x:t xml:space="preserve">D5_SS16</x:t>
        </x:is>
      </x:c>
      <x:c r="K104" s="4" t="inlineStr">
        <x:is>
          <x:t xml:space="preserve">Pertinence covenants</x:t>
        </x:is>
      </x:c>
      <x:c r="L104" s="5" t="n">
        <x:v>0.4</x:v>
      </x:c>
      <x:c r="M104" s="4" t="inlineStr">
        <x:is>
          <x:t xml:space="preserve"/>
        </x:is>
      </x:c>
      <x:c r="N104" s="4" t="inlineStr">
        <x:is>
          <x:t xml:space="preserve"/>
        </x:is>
      </x:c>
      <x:c r="O104" s="6" t="n"/>
      <x:c r="P104" s="5">
        <x:f>C104*F104*I104*L104</x:f>
        <x:v>0.0075</x:v>
      </x:c>
      <x:c r="Q104" s="7">
        <x:f>IF(O104="","",O104/10*P104)</x:f>
      </x:c>
    </x:row>
    <x:row r="105">
      <x:c r="A105" s="4" t="inlineStr">
        <x:is>
          <x:t xml:space="preserve">D5</x:t>
        </x:is>
      </x:c>
      <x:c r="B105" s="4" t="inlineStr">
        <x:is>
          <x:t xml:space="preserve">Financial Structure</x:t>
        </x:is>
      </x:c>
      <x:c r="C105" s="5" t="n">
        <x:v>0.15</x:v>
      </x:c>
      <x:c r="D105" s="4" t="inlineStr">
        <x:is>
          <x:t xml:space="preserve">D5_C3</x:t>
        </x:is>
      </x:c>
      <x:c r="E105" s="4" t="inlineStr">
        <x:is>
          <x:t xml:space="preserve">Financial Flexibility &amp; Covenants</x:t>
        </x:is>
      </x:c>
      <x:c r="F105" s="5" t="n">
        <x:v>0.25</x:v>
      </x:c>
      <x:c r="G105" s="4" t="inlineStr">
        <x:is>
          <x:t xml:space="preserve">D5_SC6</x:t>
        </x:is>
      </x:c>
      <x:c r="H105" s="4" t="inlineStr">
        <x:is>
          <x:t xml:space="preserve">Covenants</x:t>
        </x:is>
      </x:c>
      <x:c r="I105" s="5" t="n">
        <x:v>0.5</x:v>
      </x:c>
      <x:c r="J105" s="4" t="inlineStr">
        <x:is>
          <x:t xml:space="preserve">D5_SS17</x:t>
        </x:is>
      </x:c>
      <x:c r="K105" s="4" t="inlineStr">
        <x:is>
          <x:t xml:space="preserve">Fréquence test / cure rights</x:t>
        </x:is>
      </x:c>
      <x:c r="L105" s="5" t="n">
        <x:v>0.3</x:v>
      </x:c>
      <x:c r="M105" s="4" t="inlineStr">
        <x:is>
          <x:t xml:space="preserve"/>
        </x:is>
      </x:c>
      <x:c r="N105" s="4" t="inlineStr">
        <x:is>
          <x:t xml:space="preserve"/>
        </x:is>
      </x:c>
      <x:c r="O105" s="6" t="n"/>
      <x:c r="P105" s="5">
        <x:f>C105*F105*I105*L105</x:f>
        <x:v>0.005625</x:v>
      </x:c>
      <x:c r="Q105" s="7">
        <x:f>IF(O105="","",O105/10*P105)</x:f>
      </x:c>
    </x:row>
    <x:row r="106">
      <x:c r="A106" s="4" t="inlineStr">
        <x:is>
          <x:t xml:space="preserve">D5</x:t>
        </x:is>
      </x:c>
      <x:c r="B106" s="4" t="inlineStr">
        <x:is>
          <x:t xml:space="preserve">Financial Structure</x:t>
        </x:is>
      </x:c>
      <x:c r="C106" s="5" t="n">
        <x:v>0.15</x:v>
      </x:c>
      <x:c r="D106" s="4" t="inlineStr">
        <x:is>
          <x:t xml:space="preserve">D5_C3</x:t>
        </x:is>
      </x:c>
      <x:c r="E106" s="4" t="inlineStr">
        <x:is>
          <x:t xml:space="preserve">Financial Flexibility &amp; Covenants</x:t>
        </x:is>
      </x:c>
      <x:c r="F106" s="5" t="n">
        <x:v>0.25</x:v>
      </x:c>
      <x:c r="G106" s="4" t="inlineStr">
        <x:is>
          <x:t xml:space="preserve">D5_SC6</x:t>
        </x:is>
      </x:c>
      <x:c r="H106" s="4" t="inlineStr">
        <x:is>
          <x:t xml:space="preserve">Covenants</x:t>
        </x:is>
      </x:c>
      <x:c r="I106" s="5" t="n">
        <x:v>0.5</x:v>
      </x:c>
      <x:c r="J106" s="4" t="inlineStr">
        <x:is>
          <x:t xml:space="preserve">D5_SS18</x:t>
        </x:is>
      </x:c>
      <x:c r="K106" s="4" t="inlineStr">
        <x:is>
          <x:t xml:space="preserve">Mécanismes d'alerte précoce</x:t>
        </x:is>
      </x:c>
      <x:c r="L106" s="5" t="n">
        <x:v>0.3</x:v>
      </x:c>
      <x:c r="M106" s="4" t="inlineStr">
        <x:is>
          <x:t xml:space="preserve"/>
        </x:is>
      </x:c>
      <x:c r="N106" s="4" t="inlineStr">
        <x:is>
          <x:t xml:space="preserve"/>
        </x:is>
      </x:c>
      <x:c r="O106" s="6" t="n"/>
      <x:c r="P106" s="5">
        <x:f>C106*F106*I106*L106</x:f>
        <x:v>0.005625</x:v>
      </x:c>
      <x:c r="Q106" s="7">
        <x:f>IF(O106="","",O106/10*P106)</x:f>
      </x:c>
    </x:row>
    <x:row r="107">
      <x:c r="A107" s="4" t="inlineStr">
        <x:is>
          <x:t xml:space="preserve">D5</x:t>
        </x:is>
      </x:c>
      <x:c r="B107" s="4" t="inlineStr">
        <x:is>
          <x:t xml:space="preserve">Financial Structure</x:t>
        </x:is>
      </x:c>
      <x:c r="C107" s="5" t="n">
        <x:v>0.15</x:v>
      </x:c>
      <x:c r="D107" s="4" t="inlineStr">
        <x:is>
          <x:t xml:space="preserve">D5_C3</x:t>
        </x:is>
      </x:c>
      <x:c r="E107" s="4" t="inlineStr">
        <x:is>
          <x:t xml:space="preserve">Financial Flexibility &amp; Covenants</x:t>
        </x:is>
      </x:c>
      <x:c r="F107" s="5" t="n">
        <x:v>0.25</x:v>
      </x:c>
      <x:c r="G107" s="4" t="inlineStr">
        <x:is>
          <x:t xml:space="preserve">D5_SC7</x:t>
        </x:is>
      </x:c>
      <x:c r="H107" s="4" t="inlineStr">
        <x:is>
          <x:t xml:space="preserve">Distribution lock-up</x:t>
        </x:is>
      </x:c>
      <x:c r="I107" s="5" t="n">
        <x:v>0.5</x:v>
      </x:c>
      <x:c r="J107" s="4" t="inlineStr">
        <x:is>
          <x:t xml:space="preserve">D5_SS19</x:t>
        </x:is>
      </x:c>
      <x:c r="K107" s="4" t="inlineStr">
        <x:is>
          <x:t xml:space="preserve">Blocage distributions</x:t>
        </x:is>
      </x:c>
      <x:c r="L107" s="5" t="n">
        <x:v>0.4</x:v>
      </x:c>
      <x:c r="M107" s="4" t="inlineStr">
        <x:is>
          <x:t xml:space="preserve"/>
        </x:is>
      </x:c>
      <x:c r="N107" s="4" t="inlineStr">
        <x:is>
          <x:t xml:space="preserve"/>
        </x:is>
      </x:c>
      <x:c r="O107" s="6" t="n"/>
      <x:c r="P107" s="5">
        <x:f>C107*F107*I107*L107</x:f>
        <x:v>0.0075</x:v>
      </x:c>
      <x:c r="Q107" s="7">
        <x:f>IF(O107="","",O107/10*P107)</x:f>
      </x:c>
    </x:row>
    <x:row r="108">
      <x:c r="A108" s="4" t="inlineStr">
        <x:is>
          <x:t xml:space="preserve">D5</x:t>
        </x:is>
      </x:c>
      <x:c r="B108" s="4" t="inlineStr">
        <x:is>
          <x:t xml:space="preserve">Financial Structure</x:t>
        </x:is>
      </x:c>
      <x:c r="C108" s="5" t="n">
        <x:v>0.15</x:v>
      </x:c>
      <x:c r="D108" s="4" t="inlineStr">
        <x:is>
          <x:t xml:space="preserve">D5_C3</x:t>
        </x:is>
      </x:c>
      <x:c r="E108" s="4" t="inlineStr">
        <x:is>
          <x:t xml:space="preserve">Financial Flexibility &amp; Covenants</x:t>
        </x:is>
      </x:c>
      <x:c r="F108" s="5" t="n">
        <x:v>0.25</x:v>
      </x:c>
      <x:c r="G108" s="4" t="inlineStr">
        <x:is>
          <x:t xml:space="preserve">D5_SC7</x:t>
        </x:is>
      </x:c>
      <x:c r="H108" s="4" t="inlineStr">
        <x:is>
          <x:t xml:space="preserve">Distribution lock-up</x:t>
        </x:is>
      </x:c>
      <x:c r="I108" s="5" t="n">
        <x:v>0.5</x:v>
      </x:c>
      <x:c r="J108" s="4" t="inlineStr">
        <x:is>
          <x:t xml:space="preserve">D5_SS20</x:t>
        </x:is>
      </x:c>
      <x:c r="K108" s="4" t="inlineStr">
        <x:is>
          <x:t xml:space="preserve">Cash sweep</x:t>
        </x:is>
      </x:c>
      <x:c r="L108" s="5" t="n">
        <x:v>0.3</x:v>
      </x:c>
      <x:c r="M108" s="4" t="inlineStr">
        <x:is>
          <x:t xml:space="preserve"/>
        </x:is>
      </x:c>
      <x:c r="N108" s="4" t="inlineStr">
        <x:is>
          <x:t xml:space="preserve"/>
        </x:is>
      </x:c>
      <x:c r="O108" s="6" t="n"/>
      <x:c r="P108" s="5">
        <x:f>C108*F108*I108*L108</x:f>
        <x:v>0.005625</x:v>
      </x:c>
      <x:c r="Q108" s="7">
        <x:f>IF(O108="","",O108/10*P108)</x:f>
      </x:c>
    </x:row>
    <x:row r="109">
      <x:c r="A109" s="4" t="inlineStr">
        <x:is>
          <x:t xml:space="preserve">D5</x:t>
        </x:is>
      </x:c>
      <x:c r="B109" s="4" t="inlineStr">
        <x:is>
          <x:t xml:space="preserve">Financial Structure</x:t>
        </x:is>
      </x:c>
      <x:c r="C109" s="5" t="n">
        <x:v>0.15</x:v>
      </x:c>
      <x:c r="D109" s="4" t="inlineStr">
        <x:is>
          <x:t xml:space="preserve">D5_C3</x:t>
        </x:is>
      </x:c>
      <x:c r="E109" s="4" t="inlineStr">
        <x:is>
          <x:t xml:space="preserve">Financial Flexibility &amp; Covenants</x:t>
        </x:is>
      </x:c>
      <x:c r="F109" s="5" t="n">
        <x:v>0.25</x:v>
      </x:c>
      <x:c r="G109" s="4" t="inlineStr">
        <x:is>
          <x:t xml:space="preserve">D5_SC7</x:t>
        </x:is>
      </x:c>
      <x:c r="H109" s="4" t="inlineStr">
        <x:is>
          <x:t xml:space="preserve">Distribution lock-up</x:t>
        </x:is>
      </x:c>
      <x:c r="I109" s="5" t="n">
        <x:v>0.5</x:v>
      </x:c>
      <x:c r="J109" s="4" t="inlineStr">
        <x:is>
          <x:t xml:space="preserve">D5_SS21</x:t>
        </x:is>
      </x:c>
      <x:c r="K109" s="4" t="inlineStr">
        <x:is>
          <x:t xml:space="preserve">Flexibilité restructuration</x:t>
        </x:is>
      </x:c>
      <x:c r="L109" s="5" t="n">
        <x:v>0.3</x:v>
      </x:c>
      <x:c r="M109" s="4" t="inlineStr">
        <x:is>
          <x:t xml:space="preserve"/>
        </x:is>
      </x:c>
      <x:c r="N109" s="4" t="inlineStr">
        <x:is>
          <x:t xml:space="preserve"/>
        </x:is>
      </x:c>
      <x:c r="O109" s="6" t="n"/>
      <x:c r="P109" s="5">
        <x:f>C109*F109*I109*L109</x:f>
        <x:v>0.005625</x:v>
      </x:c>
      <x:c r="Q109" s="7">
        <x:f>IF(O109="","",O109/10*P109)</x:f>
      </x:c>
    </x:row>
    <x:row r="110">
      <x:c r="A110" s="4" t="inlineStr">
        <x:is>
          <x:t xml:space="preserve">D6</x:t>
        </x:is>
      </x:c>
      <x:c r="B110" s="4" t="inlineStr">
        <x:is>
          <x:t xml:space="preserve">Revenue &amp; Contracts</x:t>
        </x:is>
      </x:c>
      <x:c r="C110" s="5" t="n">
        <x:v>0.1</x:v>
      </x:c>
      <x:c r="D110" s="4" t="inlineStr">
        <x:is>
          <x:t xml:space="preserve">D6_C1</x:t>
        </x:is>
      </x:c>
      <x:c r="E110" s="4" t="inlineStr">
        <x:is>
          <x:t xml:space="preserve">Revenue Quality</x:t>
        </x:is>
      </x:c>
      <x:c r="F110" s="5" t="n">
        <x:v>0.45</x:v>
      </x:c>
      <x:c r="G110" s="4" t="inlineStr">
        <x:is>
          <x:t xml:space="preserve">D6_SC1</x:t>
        </x:is>
      </x:c>
      <x:c r="H110" s="4" t="inlineStr">
        <x:is>
          <x:t xml:space="preserve">Demand/revenue visibility</x:t>
        </x:is>
      </x:c>
      <x:c r="I110" s="5" t="n">
        <x:v>0.4</x:v>
      </x:c>
      <x:c r="J110" s="4" t="inlineStr">
        <x:is>
          <x:t xml:space="preserve">D6_SS1</x:t>
        </x:is>
      </x:c>
      <x:c r="K110" s="4" t="inlineStr">
        <x:is>
          <x:t xml:space="preserve">Visibilité revenus</x:t>
        </x:is>
      </x:c>
      <x:c r="L110" s="5" t="n">
        <x:v>0.4</x:v>
      </x:c>
      <x:c r="M110" s="4" t="inlineStr">
        <x:is>
          <x:t xml:space="preserve"/>
        </x:is>
      </x:c>
      <x:c r="N110" s="4" t="inlineStr">
        <x:is>
          <x:t xml:space="preserve"/>
        </x:is>
      </x:c>
      <x:c r="O110" s="6" t="n"/>
      <x:c r="P110" s="5">
        <x:f>C110*F110*I110*L110</x:f>
        <x:v>0.0072000000000000015</x:v>
      </x:c>
      <x:c r="Q110" s="7">
        <x:f>IF(O110="","",O110/10*P110)</x:f>
      </x:c>
    </x:row>
    <x:row r="111">
      <x:c r="A111" s="4" t="inlineStr">
        <x:is>
          <x:t xml:space="preserve">D6</x:t>
        </x:is>
      </x:c>
      <x:c r="B111" s="4" t="inlineStr">
        <x:is>
          <x:t xml:space="preserve">Revenue &amp; Contracts</x:t>
        </x:is>
      </x:c>
      <x:c r="C111" s="5" t="n">
        <x:v>0.1</x:v>
      </x:c>
      <x:c r="D111" s="4" t="inlineStr">
        <x:is>
          <x:t xml:space="preserve">D6_C1</x:t>
        </x:is>
      </x:c>
      <x:c r="E111" s="4" t="inlineStr">
        <x:is>
          <x:t xml:space="preserve">Revenue Quality</x:t>
        </x:is>
      </x:c>
      <x:c r="F111" s="5" t="n">
        <x:v>0.45</x:v>
      </x:c>
      <x:c r="G111" s="4" t="inlineStr">
        <x:is>
          <x:t xml:space="preserve">D6_SC1</x:t>
        </x:is>
      </x:c>
      <x:c r="H111" s="4" t="inlineStr">
        <x:is>
          <x:t xml:space="preserve">Demand/revenue visibility</x:t>
        </x:is>
      </x:c>
      <x:c r="I111" s="5" t="n">
        <x:v>0.4</x:v>
      </x:c>
      <x:c r="J111" s="4" t="inlineStr">
        <x:is>
          <x:t xml:space="preserve">D6_SS2</x:t>
        </x:is>
      </x:c>
      <x:c r="K111" s="4" t="inlineStr">
        <x:is>
          <x:t xml:space="preserve">Diversification des contreparties</x:t>
        </x:is>
      </x:c>
      <x:c r="L111" s="5" t="n">
        <x:v>0.3</x:v>
      </x:c>
      <x:c r="M111" s="4" t="inlineStr">
        <x:is>
          <x:t xml:space="preserve"/>
        </x:is>
      </x:c>
      <x:c r="N111" s="4" t="inlineStr">
        <x:is>
          <x:t xml:space="preserve"/>
        </x:is>
      </x:c>
      <x:c r="O111" s="6" t="n"/>
      <x:c r="P111" s="5">
        <x:f>C111*F111*I111*L111</x:f>
        <x:v>0.0054</x:v>
      </x:c>
      <x:c r="Q111" s="7">
        <x:f>IF(O111="","",O111/10*P111)</x:f>
      </x:c>
    </x:row>
    <x:row r="112">
      <x:c r="A112" s="4" t="inlineStr">
        <x:is>
          <x:t xml:space="preserve">D6</x:t>
        </x:is>
      </x:c>
      <x:c r="B112" s="4" t="inlineStr">
        <x:is>
          <x:t xml:space="preserve">Revenue &amp; Contracts</x:t>
        </x:is>
      </x:c>
      <x:c r="C112" s="5" t="n">
        <x:v>0.1</x:v>
      </x:c>
      <x:c r="D112" s="4" t="inlineStr">
        <x:is>
          <x:t xml:space="preserve">D6_C1</x:t>
        </x:is>
      </x:c>
      <x:c r="E112" s="4" t="inlineStr">
        <x:is>
          <x:t xml:space="preserve">Revenue Quality</x:t>
        </x:is>
      </x:c>
      <x:c r="F112" s="5" t="n">
        <x:v>0.45</x:v>
      </x:c>
      <x:c r="G112" s="4" t="inlineStr">
        <x:is>
          <x:t xml:space="preserve">D6_SC1</x:t>
        </x:is>
      </x:c>
      <x:c r="H112" s="4" t="inlineStr">
        <x:is>
          <x:t xml:space="preserve">Demand/revenue visibility</x:t>
        </x:is>
      </x:c>
      <x:c r="I112" s="5" t="n">
        <x:v>0.4</x:v>
      </x:c>
      <x:c r="J112" s="4" t="inlineStr">
        <x:is>
          <x:t xml:space="preserve">D6_SS3</x:t>
        </x:is>
      </x:c>
      <x:c r="K112" s="4" t="inlineStr">
        <x:is>
          <x:t xml:space="preserve">Risque concentration client</x:t>
        </x:is>
      </x:c>
      <x:c r="L112" s="5" t="n">
        <x:v>0.3</x:v>
      </x:c>
      <x:c r="M112" s="4" t="inlineStr">
        <x:is>
          <x:t xml:space="preserve"/>
        </x:is>
      </x:c>
      <x:c r="N112" s="4" t="inlineStr">
        <x:is>
          <x:t xml:space="preserve"/>
        </x:is>
      </x:c>
      <x:c r="O112" s="6" t="n"/>
      <x:c r="P112" s="5">
        <x:f>C112*F112*I112*L112</x:f>
        <x:v>0.0054</x:v>
      </x:c>
      <x:c r="Q112" s="7">
        <x:f>IF(O112="","",O112/10*P112)</x:f>
      </x:c>
    </x:row>
    <x:row r="113">
      <x:c r="A113" s="4" t="inlineStr">
        <x:is>
          <x:t xml:space="preserve">D6</x:t>
        </x:is>
      </x:c>
      <x:c r="B113" s="4" t="inlineStr">
        <x:is>
          <x:t xml:space="preserve">Revenue &amp; Contracts</x:t>
        </x:is>
      </x:c>
      <x:c r="C113" s="5" t="n">
        <x:v>0.1</x:v>
      </x:c>
      <x:c r="D113" s="4" t="inlineStr">
        <x:is>
          <x:t xml:space="preserve">D6_C1</x:t>
        </x:is>
      </x:c>
      <x:c r="E113" s="4" t="inlineStr">
        <x:is>
          <x:t xml:space="preserve">Revenue Quality</x:t>
        </x:is>
      </x:c>
      <x:c r="F113" s="5" t="n">
        <x:v>0.45</x:v>
      </x:c>
      <x:c r="G113" s="4" t="inlineStr">
        <x:is>
          <x:t xml:space="preserve">D6_SC2</x:t>
        </x:is>
      </x:c>
      <x:c r="H113" s="4" t="inlineStr">
        <x:is>
          <x:t xml:space="preserve">Price stability</x:t>
        </x:is>
      </x:c>
      <x:c r="I113" s="5" t="n">
        <x:v>0.35</x:v>
      </x:c>
      <x:c r="J113" s="4" t="inlineStr">
        <x:is>
          <x:t xml:space="preserve">D6_SS4</x:t>
        </x:is>
      </x:c>
      <x:c r="K113" s="4" t="inlineStr">
        <x:is>
          <x:t xml:space="preserve">Stabilité tarifaire</x:t>
        </x:is>
      </x:c>
      <x:c r="L113" s="5" t="n">
        <x:v>0.4</x:v>
      </x:c>
      <x:c r="M113" s="4" t="inlineStr">
        <x:is>
          <x:t xml:space="preserve"/>
        </x:is>
      </x:c>
      <x:c r="N113" s="4" t="inlineStr">
        <x:is>
          <x:t xml:space="preserve"/>
        </x:is>
      </x:c>
      <x:c r="O113" s="6" t="n"/>
      <x:c r="P113" s="5">
        <x:f>C113*F113*I113*L113</x:f>
        <x:v>0.0063</x:v>
      </x:c>
      <x:c r="Q113" s="7">
        <x:f>IF(O113="","",O113/10*P113)</x:f>
      </x:c>
    </x:row>
    <x:row r="114">
      <x:c r="A114" s="4" t="inlineStr">
        <x:is>
          <x:t xml:space="preserve">D6</x:t>
        </x:is>
      </x:c>
      <x:c r="B114" s="4" t="inlineStr">
        <x:is>
          <x:t xml:space="preserve">Revenue &amp; Contracts</x:t>
        </x:is>
      </x:c>
      <x:c r="C114" s="5" t="n">
        <x:v>0.1</x:v>
      </x:c>
      <x:c r="D114" s="4" t="inlineStr">
        <x:is>
          <x:t xml:space="preserve">D6_C1</x:t>
        </x:is>
      </x:c>
      <x:c r="E114" s="4" t="inlineStr">
        <x:is>
          <x:t xml:space="preserve">Revenue Quality</x:t>
        </x:is>
      </x:c>
      <x:c r="F114" s="5" t="n">
        <x:v>0.45</x:v>
      </x:c>
      <x:c r="G114" s="4" t="inlineStr">
        <x:is>
          <x:t xml:space="preserve">D6_SC2</x:t>
        </x:is>
      </x:c>
      <x:c r="H114" s="4" t="inlineStr">
        <x:is>
          <x:t xml:space="preserve">Price stability</x:t>
        </x:is>
      </x:c>
      <x:c r="I114" s="5" t="n">
        <x:v>0.35</x:v>
      </x:c>
      <x:c r="J114" s="4" t="inlineStr">
        <x:is>
          <x:t xml:space="preserve">D6_SS5</x:t>
        </x:is>
      </x:c>
      <x:c r="K114" s="4" t="inlineStr">
        <x:is>
          <x:t xml:space="preserve">Indexation / pass-through</x:t>
        </x:is>
      </x:c>
      <x:c r="L114" s="5" t="n">
        <x:v>0.35</x:v>
      </x:c>
      <x:c r="M114" s="4" t="inlineStr">
        <x:is>
          <x:t xml:space="preserve"/>
        </x:is>
      </x:c>
      <x:c r="N114" s="4" t="inlineStr">
        <x:is>
          <x:t xml:space="preserve"/>
        </x:is>
      </x:c>
      <x:c r="O114" s="6" t="n"/>
      <x:c r="P114" s="5">
        <x:f>C114*F114*I114*L114</x:f>
        <x:v>0.0055125</x:v>
      </x:c>
      <x:c r="Q114" s="7">
        <x:f>IF(O114="","",O114/10*P114)</x:f>
      </x:c>
    </x:row>
    <x:row r="115">
      <x:c r="A115" s="4" t="inlineStr">
        <x:is>
          <x:t xml:space="preserve">D6</x:t>
        </x:is>
      </x:c>
      <x:c r="B115" s="4" t="inlineStr">
        <x:is>
          <x:t xml:space="preserve">Revenue &amp; Contracts</x:t>
        </x:is>
      </x:c>
      <x:c r="C115" s="5" t="n">
        <x:v>0.1</x:v>
      </x:c>
      <x:c r="D115" s="4" t="inlineStr">
        <x:is>
          <x:t xml:space="preserve">D6_C1</x:t>
        </x:is>
      </x:c>
      <x:c r="E115" s="4" t="inlineStr">
        <x:is>
          <x:t xml:space="preserve">Revenue Quality</x:t>
        </x:is>
      </x:c>
      <x:c r="F115" s="5" t="n">
        <x:v>0.45</x:v>
      </x:c>
      <x:c r="G115" s="4" t="inlineStr">
        <x:is>
          <x:t xml:space="preserve">D6_SC2</x:t>
        </x:is>
      </x:c>
      <x:c r="H115" s="4" t="inlineStr">
        <x:is>
          <x:t xml:space="preserve">Price stability</x:t>
        </x:is>
      </x:c>
      <x:c r="I115" s="5" t="n">
        <x:v>0.35</x:v>
      </x:c>
      <x:c r="J115" s="4" t="inlineStr">
        <x:is>
          <x:t xml:space="preserve">D6_SS6</x:t>
        </x:is>
      </x:c>
      <x:c r="K115" s="4" t="inlineStr">
        <x:is>
          <x:t xml:space="preserve">Exposition marché spot</x:t>
        </x:is>
      </x:c>
      <x:c r="L115" s="5" t="n">
        <x:v>0.25</x:v>
      </x:c>
      <x:c r="M115" s="4" t="inlineStr">
        <x:is>
          <x:t xml:space="preserve"/>
        </x:is>
      </x:c>
      <x:c r="N115" s="4" t="inlineStr">
        <x:is>
          <x:t xml:space="preserve"/>
        </x:is>
      </x:c>
      <x:c r="O115" s="6" t="n"/>
      <x:c r="P115" s="5">
        <x:f>C115*F115*I115*L115</x:f>
        <x:v>0.0039375</x:v>
      </x:c>
      <x:c r="Q115" s="7">
        <x:f>IF(O115="","",O115/10*P115)</x:f>
      </x:c>
    </x:row>
    <x:row r="116">
      <x:c r="A116" s="4" t="inlineStr">
        <x:is>
          <x:t xml:space="preserve">D6</x:t>
        </x:is>
      </x:c>
      <x:c r="B116" s="4" t="inlineStr">
        <x:is>
          <x:t xml:space="preserve">Revenue &amp; Contracts</x:t>
        </x:is>
      </x:c>
      <x:c r="C116" s="5" t="n">
        <x:v>0.1</x:v>
      </x:c>
      <x:c r="D116" s="4" t="inlineStr">
        <x:is>
          <x:t xml:space="preserve">D6_C1</x:t>
        </x:is>
      </x:c>
      <x:c r="E116" s="4" t="inlineStr">
        <x:is>
          <x:t xml:space="preserve">Revenue Quality</x:t>
        </x:is>
      </x:c>
      <x:c r="F116" s="5" t="n">
        <x:v>0.45</x:v>
      </x:c>
      <x:c r="G116" s="4" t="inlineStr">
        <x:is>
          <x:t xml:space="preserve">D6_SC3</x:t>
        </x:is>
      </x:c>
      <x:c r="H116" s="4" t="inlineStr">
        <x:is>
          <x:t xml:space="preserve">Counterparty credit quality</x:t>
        </x:is>
      </x:c>
      <x:c r="I116" s="5" t="n">
        <x:v>0.25</x:v>
      </x:c>
      <x:c r="J116" s="4" t="inlineStr">
        <x:is>
          <x:t xml:space="preserve">D6_SS7</x:t>
        </x:is>
      </x:c>
      <x:c r="K116" s="4" t="inlineStr">
        <x:is>
          <x:t xml:space="preserve">Qualité de crédit acheteur/offtaker</x:t>
        </x:is>
      </x:c>
      <x:c r="L116" s="5" t="n">
        <x:v>0.4</x:v>
      </x:c>
      <x:c r="M116" s="4" t="inlineStr">
        <x:is>
          <x:t xml:space="preserve"/>
        </x:is>
      </x:c>
      <x:c r="N116" s="4" t="inlineStr">
        <x:is>
          <x:t xml:space="preserve"/>
        </x:is>
      </x:c>
      <x:c r="O116" s="6" t="n"/>
      <x:c r="P116" s="5">
        <x:f>C116*F116*I116*L116</x:f>
        <x:v>0.0045000000000000005</x:v>
      </x:c>
      <x:c r="Q116" s="7">
        <x:f>IF(O116="","",O116/10*P116)</x:f>
      </x:c>
    </x:row>
    <x:row r="117">
      <x:c r="A117" s="4" t="inlineStr">
        <x:is>
          <x:t xml:space="preserve">D6</x:t>
        </x:is>
      </x:c>
      <x:c r="B117" s="4" t="inlineStr">
        <x:is>
          <x:t xml:space="preserve">Revenue &amp; Contracts</x:t>
        </x:is>
      </x:c>
      <x:c r="C117" s="5" t="n">
        <x:v>0.1</x:v>
      </x:c>
      <x:c r="D117" s="4" t="inlineStr">
        <x:is>
          <x:t xml:space="preserve">D6_C1</x:t>
        </x:is>
      </x:c>
      <x:c r="E117" s="4" t="inlineStr">
        <x:is>
          <x:t xml:space="preserve">Revenue Quality</x:t>
        </x:is>
      </x:c>
      <x:c r="F117" s="5" t="n">
        <x:v>0.45</x:v>
      </x:c>
      <x:c r="G117" s="4" t="inlineStr">
        <x:is>
          <x:t xml:space="preserve">D6_SC3</x:t>
        </x:is>
      </x:c>
      <x:c r="H117" s="4" t="inlineStr">
        <x:is>
          <x:t xml:space="preserve">Counterparty credit quality</x:t>
        </x:is>
      </x:c>
      <x:c r="I117" s="5" t="n">
        <x:v>0.25</x:v>
      </x:c>
      <x:c r="J117" s="4" t="inlineStr">
        <x:is>
          <x:t xml:space="preserve">D6_SS8</x:t>
        </x:is>
      </x:c>
      <x:c r="K117" s="4" t="inlineStr">
        <x:is>
          <x:t xml:space="preserve">Garanties de paiement</x:t>
        </x:is>
      </x:c>
      <x:c r="L117" s="5" t="n">
        <x:v>0.35</x:v>
      </x:c>
      <x:c r="M117" s="4" t="inlineStr">
        <x:is>
          <x:t xml:space="preserve"/>
        </x:is>
      </x:c>
      <x:c r="N117" s="4" t="inlineStr">
        <x:is>
          <x:t xml:space="preserve"/>
        </x:is>
      </x:c>
      <x:c r="O117" s="6" t="n"/>
      <x:c r="P117" s="5">
        <x:f>C117*F117*I117*L117</x:f>
        <x:v>0.0039375</x:v>
      </x:c>
      <x:c r="Q117" s="7">
        <x:f>IF(O117="","",O117/10*P117)</x:f>
      </x:c>
    </x:row>
    <x:row r="118">
      <x:c r="A118" s="4" t="inlineStr">
        <x:is>
          <x:t xml:space="preserve">D6</x:t>
        </x:is>
      </x:c>
      <x:c r="B118" s="4" t="inlineStr">
        <x:is>
          <x:t xml:space="preserve">Revenue &amp; Contracts</x:t>
        </x:is>
      </x:c>
      <x:c r="C118" s="5" t="n">
        <x:v>0.1</x:v>
      </x:c>
      <x:c r="D118" s="4" t="inlineStr">
        <x:is>
          <x:t xml:space="preserve">D6_C1</x:t>
        </x:is>
      </x:c>
      <x:c r="E118" s="4" t="inlineStr">
        <x:is>
          <x:t xml:space="preserve">Revenue Quality</x:t>
        </x:is>
      </x:c>
      <x:c r="F118" s="5" t="n">
        <x:v>0.45</x:v>
      </x:c>
      <x:c r="G118" s="4" t="inlineStr">
        <x:is>
          <x:t xml:space="preserve">D6_SC3</x:t>
        </x:is>
      </x:c>
      <x:c r="H118" s="4" t="inlineStr">
        <x:is>
          <x:t xml:space="preserve">Counterparty credit quality</x:t>
        </x:is>
      </x:c>
      <x:c r="I118" s="5" t="n">
        <x:v>0.25</x:v>
      </x:c>
      <x:c r="J118" s="4" t="inlineStr">
        <x:is>
          <x:t xml:space="preserve">D6_SS9</x:t>
        </x:is>
      </x:c>
      <x:c r="K118" s="4" t="inlineStr">
        <x:is>
          <x:t xml:space="preserve">Historique de paiement</x:t>
        </x:is>
      </x:c>
      <x:c r="L118" s="5" t="n">
        <x:v>0.25</x:v>
      </x:c>
      <x:c r="M118" s="4" t="inlineStr">
        <x:is>
          <x:t xml:space="preserve"/>
        </x:is>
      </x:c>
      <x:c r="N118" s="4" t="inlineStr">
        <x:is>
          <x:t xml:space="preserve"/>
        </x:is>
      </x:c>
      <x:c r="O118" s="6" t="n"/>
      <x:c r="P118" s="5">
        <x:f>C118*F118*I118*L118</x:f>
        <x:v>0.0028125000000000003</x:v>
      </x:c>
      <x:c r="Q118" s="7">
        <x:f>IF(O118="","",O118/10*P118)</x:f>
      </x:c>
    </x:row>
    <x:row r="119">
      <x:c r="A119" s="4" t="inlineStr">
        <x:is>
          <x:t xml:space="preserve">D6</x:t>
        </x:is>
      </x:c>
      <x:c r="B119" s="4" t="inlineStr">
        <x:is>
          <x:t xml:space="preserve">Revenue &amp; Contracts</x:t>
        </x:is>
      </x:c>
      <x:c r="C119" s="5" t="n">
        <x:v>0.1</x:v>
      </x:c>
      <x:c r="D119" s="4" t="inlineStr">
        <x:is>
          <x:t xml:space="preserve">D6_C2</x:t>
        </x:is>
      </x:c>
      <x:c r="E119" s="4" t="inlineStr">
        <x:is>
          <x:t xml:space="preserve">Contractual Robustness</x:t>
        </x:is>
      </x:c>
      <x:c r="F119" s="5" t="n">
        <x:v>0.35</x:v>
      </x:c>
      <x:c r="G119" s="4" t="inlineStr">
        <x:is>
          <x:t xml:space="preserve">D6_SC4</x:t>
        </x:is>
      </x:c>
      <x:c r="H119" s="4" t="inlineStr">
        <x:is>
          <x:t xml:space="preserve">Offtake/PPA framework</x:t>
        </x:is>
      </x:c>
      <x:c r="I119" s="5" t="n">
        <x:v>0.5</x:v>
      </x:c>
      <x:c r="J119" s="4" t="inlineStr">
        <x:is>
          <x:t xml:space="preserve">D6_SS10</x:t>
        </x:is>
      </x:c>
      <x:c r="K119" s="4" t="inlineStr">
        <x:is>
          <x:t xml:space="preserve">Durée du contrat</x:t>
        </x:is>
      </x:c>
      <x:c r="L119" s="5" t="n">
        <x:v>0.35</x:v>
      </x:c>
      <x:c r="M119" s="4" t="inlineStr">
        <x:is>
          <x:t xml:space="preserve"/>
        </x:is>
      </x:c>
      <x:c r="N119" s="4" t="inlineStr">
        <x:is>
          <x:t xml:space="preserve"/>
        </x:is>
      </x:c>
      <x:c r="O119" s="6" t="n"/>
      <x:c r="P119" s="5">
        <x:f>C119*F119*I119*L119</x:f>
        <x:v>0.006124999999999999</x:v>
      </x:c>
      <x:c r="Q119" s="7">
        <x:f>IF(O119="","",O119/10*P119)</x:f>
      </x:c>
    </x:row>
    <x:row r="120">
      <x:c r="A120" s="4" t="inlineStr">
        <x:is>
          <x:t xml:space="preserve">D6</x:t>
        </x:is>
      </x:c>
      <x:c r="B120" s="4" t="inlineStr">
        <x:is>
          <x:t xml:space="preserve">Revenue &amp; Contracts</x:t>
        </x:is>
      </x:c>
      <x:c r="C120" s="5" t="n">
        <x:v>0.1</x:v>
      </x:c>
      <x:c r="D120" s="4" t="inlineStr">
        <x:is>
          <x:t xml:space="preserve">D6_C2</x:t>
        </x:is>
      </x:c>
      <x:c r="E120" s="4" t="inlineStr">
        <x:is>
          <x:t xml:space="preserve">Contractual Robustness</x:t>
        </x:is>
      </x:c>
      <x:c r="F120" s="5" t="n">
        <x:v>0.35</x:v>
      </x:c>
      <x:c r="G120" s="4" t="inlineStr">
        <x:is>
          <x:t xml:space="preserve">D6_SC4</x:t>
        </x:is>
      </x:c>
      <x:c r="H120" s="4" t="inlineStr">
        <x:is>
          <x:t xml:space="preserve">Offtake/PPA framework</x:t>
        </x:is>
      </x:c>
      <x:c r="I120" s="5" t="n">
        <x:v>0.5</x:v>
      </x:c>
      <x:c r="J120" s="4" t="inlineStr">
        <x:is>
          <x:t xml:space="preserve">D6_SS11</x:t>
        </x:is>
      </x:c>
      <x:c r="K120" s="4" t="inlineStr">
        <x:is>
          <x:t xml:space="preserve">Take-or-pay / capacity payment</x:t>
        </x:is>
      </x:c>
      <x:c r="L120" s="5" t="n">
        <x:v>0.35</x:v>
      </x:c>
      <x:c r="M120" s="4" t="inlineStr">
        <x:is>
          <x:t xml:space="preserve"/>
        </x:is>
      </x:c>
      <x:c r="N120" s="4" t="inlineStr">
        <x:is>
          <x:t xml:space="preserve"/>
        </x:is>
      </x:c>
      <x:c r="O120" s="6" t="n"/>
      <x:c r="P120" s="5">
        <x:f>C120*F120*I120*L120</x:f>
        <x:v>0.006124999999999999</x:v>
      </x:c>
      <x:c r="Q120" s="7">
        <x:f>IF(O120="","",O120/10*P120)</x:f>
      </x:c>
    </x:row>
    <x:row r="121">
      <x:c r="A121" s="4" t="inlineStr">
        <x:is>
          <x:t xml:space="preserve">D6</x:t>
        </x:is>
      </x:c>
      <x:c r="B121" s="4" t="inlineStr">
        <x:is>
          <x:t xml:space="preserve">Revenue &amp; Contracts</x:t>
        </x:is>
      </x:c>
      <x:c r="C121" s="5" t="n">
        <x:v>0.1</x:v>
      </x:c>
      <x:c r="D121" s="4" t="inlineStr">
        <x:is>
          <x:t xml:space="preserve">D6_C2</x:t>
        </x:is>
      </x:c>
      <x:c r="E121" s="4" t="inlineStr">
        <x:is>
          <x:t xml:space="preserve">Contractual Robustness</x:t>
        </x:is>
      </x:c>
      <x:c r="F121" s="5" t="n">
        <x:v>0.35</x:v>
      </x:c>
      <x:c r="G121" s="4" t="inlineStr">
        <x:is>
          <x:t xml:space="preserve">D6_SC4</x:t>
        </x:is>
      </x:c>
      <x:c r="H121" s="4" t="inlineStr">
        <x:is>
          <x:t xml:space="preserve">Offtake/PPA framework</x:t>
        </x:is>
      </x:c>
      <x:c r="I121" s="5" t="n">
        <x:v>0.5</x:v>
      </x:c>
      <x:c r="J121" s="4" t="inlineStr">
        <x:is>
          <x:t xml:space="preserve">D6_SS12</x:t>
        </x:is>
      </x:c>
      <x:c r="K121" s="4" t="inlineStr">
        <x:is>
          <x:t xml:space="preserve">Force majeure / termination regime</x:t>
        </x:is>
      </x:c>
      <x:c r="L121" s="5" t="n">
        <x:v>0.3</x:v>
      </x:c>
      <x:c r="M121" s="4" t="inlineStr">
        <x:is>
          <x:t xml:space="preserve"/>
        </x:is>
      </x:c>
      <x:c r="N121" s="4" t="inlineStr">
        <x:is>
          <x:t xml:space="preserve"/>
        </x:is>
      </x:c>
      <x:c r="O121" s="6" t="n"/>
      <x:c r="P121" s="5">
        <x:f>C121*F121*I121*L121</x:f>
        <x:v>0.0052499999999999995</x:v>
      </x:c>
      <x:c r="Q121" s="7">
        <x:f>IF(O121="","",O121/10*P121)</x:f>
      </x:c>
    </x:row>
    <x:row r="122">
      <x:c r="A122" s="4" t="inlineStr">
        <x:is>
          <x:t xml:space="preserve">D6</x:t>
        </x:is>
      </x:c>
      <x:c r="B122" s="4" t="inlineStr">
        <x:is>
          <x:t xml:space="preserve">Revenue &amp; Contracts</x:t>
        </x:is>
      </x:c>
      <x:c r="C122" s="5" t="n">
        <x:v>0.1</x:v>
      </x:c>
      <x:c r="D122" s="4" t="inlineStr">
        <x:is>
          <x:t xml:space="preserve">D6_C2</x:t>
        </x:is>
      </x:c>
      <x:c r="E122" s="4" t="inlineStr">
        <x:is>
          <x:t xml:space="preserve">Contractual Robustness</x:t>
        </x:is>
      </x:c>
      <x:c r="F122" s="5" t="n">
        <x:v>0.35</x:v>
      </x:c>
      <x:c r="G122" s="4" t="inlineStr">
        <x:is>
          <x:t xml:space="preserve">D6_SC5</x:t>
        </x:is>
      </x:c>
      <x:c r="H122" s="4" t="inlineStr">
        <x:is>
          <x:t xml:space="preserve">Change in law / tariff risk</x:t>
        </x:is>
      </x:c>
      <x:c r="I122" s="5" t="n">
        <x:v>0.5</x:v>
      </x:c>
      <x:c r="J122" s="4" t="inlineStr">
        <x:is>
          <x:t xml:space="preserve">D6_SS13</x:t>
        </x:is>
      </x:c>
      <x:c r="K122" s="4" t="inlineStr">
        <x:is>
          <x:t xml:space="preserve">Protection changement de loi</x:t>
        </x:is>
      </x:c>
      <x:c r="L122" s="5" t="n">
        <x:v>0.4</x:v>
      </x:c>
      <x:c r="M122" s="4" t="inlineStr">
        <x:is>
          <x:t xml:space="preserve"/>
        </x:is>
      </x:c>
      <x:c r="N122" s="4" t="inlineStr">
        <x:is>
          <x:t xml:space="preserve"/>
        </x:is>
      </x:c>
      <x:c r="O122" s="6" t="n"/>
      <x:c r="P122" s="5">
        <x:f>C122*F122*I122*L122</x:f>
        <x:v>0.006999999999999999</x:v>
      </x:c>
      <x:c r="Q122" s="7">
        <x:f>IF(O122="","",O122/10*P122)</x:f>
      </x:c>
    </x:row>
    <x:row r="123">
      <x:c r="A123" s="4" t="inlineStr">
        <x:is>
          <x:t xml:space="preserve">D6</x:t>
        </x:is>
      </x:c>
      <x:c r="B123" s="4" t="inlineStr">
        <x:is>
          <x:t xml:space="preserve">Revenue &amp; Contracts</x:t>
        </x:is>
      </x:c>
      <x:c r="C123" s="5" t="n">
        <x:v>0.1</x:v>
      </x:c>
      <x:c r="D123" s="4" t="inlineStr">
        <x:is>
          <x:t xml:space="preserve">D6_C2</x:t>
        </x:is>
      </x:c>
      <x:c r="E123" s="4" t="inlineStr">
        <x:is>
          <x:t xml:space="preserve">Contractual Robustness</x:t>
        </x:is>
      </x:c>
      <x:c r="F123" s="5" t="n">
        <x:v>0.35</x:v>
      </x:c>
      <x:c r="G123" s="4" t="inlineStr">
        <x:is>
          <x:t xml:space="preserve">D6_SC5</x:t>
        </x:is>
      </x:c>
      <x:c r="H123" s="4" t="inlineStr">
        <x:is>
          <x:t xml:space="preserve">Change in law / tariff risk</x:t>
        </x:is>
      </x:c>
      <x:c r="I123" s="5" t="n">
        <x:v>0.5</x:v>
      </x:c>
      <x:c r="J123" s="4" t="inlineStr">
        <x:is>
          <x:t xml:space="preserve">D6_SS14</x:t>
        </x:is>
      </x:c>
      <x:c r="K123" s="4" t="inlineStr">
        <x:is>
          <x:t xml:space="preserve">Mécanismes d'ajustement tarifaire</x:t>
        </x:is>
      </x:c>
      <x:c r="L123" s="5" t="n">
        <x:v>0.35</x:v>
      </x:c>
      <x:c r="M123" s="4" t="inlineStr">
        <x:is>
          <x:t xml:space="preserve"/>
        </x:is>
      </x:c>
      <x:c r="N123" s="4" t="inlineStr">
        <x:is>
          <x:t xml:space="preserve"/>
        </x:is>
      </x:c>
      <x:c r="O123" s="6" t="n"/>
      <x:c r="P123" s="5">
        <x:f>C123*F123*I123*L123</x:f>
        <x:v>0.006124999999999999</x:v>
      </x:c>
      <x:c r="Q123" s="7">
        <x:f>IF(O123="","",O123/10*P123)</x:f>
      </x:c>
    </x:row>
    <x:row r="124">
      <x:c r="A124" s="4" t="inlineStr">
        <x:is>
          <x:t xml:space="preserve">D6</x:t>
        </x:is>
      </x:c>
      <x:c r="B124" s="4" t="inlineStr">
        <x:is>
          <x:t xml:space="preserve">Revenue &amp; Contracts</x:t>
        </x:is>
      </x:c>
      <x:c r="C124" s="5" t="n">
        <x:v>0.1</x:v>
      </x:c>
      <x:c r="D124" s="4" t="inlineStr">
        <x:is>
          <x:t xml:space="preserve">D6_C2</x:t>
        </x:is>
      </x:c>
      <x:c r="E124" s="4" t="inlineStr">
        <x:is>
          <x:t xml:space="preserve">Contractual Robustness</x:t>
        </x:is>
      </x:c>
      <x:c r="F124" s="5" t="n">
        <x:v>0.35</x:v>
      </x:c>
      <x:c r="G124" s="4" t="inlineStr">
        <x:is>
          <x:t xml:space="preserve">D6_SC5</x:t>
        </x:is>
      </x:c>
      <x:c r="H124" s="4" t="inlineStr">
        <x:is>
          <x:t xml:space="preserve">Change in law / tariff risk</x:t>
        </x:is>
      </x:c>
      <x:c r="I124" s="5" t="n">
        <x:v>0.5</x:v>
      </x:c>
      <x:c r="J124" s="4" t="inlineStr">
        <x:is>
          <x:t xml:space="preserve">D6_SS15</x:t>
        </x:is>
      </x:c>
      <x:c r="K124" s="4" t="inlineStr">
        <x:is>
          <x:t xml:space="preserve">Dispute resolution enforceability</x:t>
        </x:is>
      </x:c>
      <x:c r="L124" s="5" t="n">
        <x:v>0.25</x:v>
      </x:c>
      <x:c r="M124" s="4" t="inlineStr">
        <x:is>
          <x:t xml:space="preserve"/>
        </x:is>
      </x:c>
      <x:c r="N124" s="4" t="inlineStr">
        <x:is>
          <x:t xml:space="preserve"/>
        </x:is>
      </x:c>
      <x:c r="O124" s="6" t="n"/>
      <x:c r="P124" s="5">
        <x:f>C124*F124*I124*L124</x:f>
        <x:v>0.0043749999999999995</x:v>
      </x:c>
      <x:c r="Q124" s="7">
        <x:f>IF(O124="","",O124/10*P124)</x:f>
      </x:c>
    </x:row>
    <x:row r="125">
      <x:c r="A125" s="4" t="inlineStr">
        <x:is>
          <x:t xml:space="preserve">D6</x:t>
        </x:is>
      </x:c>
      <x:c r="B125" s="4" t="inlineStr">
        <x:is>
          <x:t xml:space="preserve">Revenue &amp; Contracts</x:t>
        </x:is>
      </x:c>
      <x:c r="C125" s="5" t="n">
        <x:v>0.1</x:v>
      </x:c>
      <x:c r="D125" s="4" t="inlineStr">
        <x:is>
          <x:t xml:space="preserve">D6_C3</x:t>
        </x:is>
      </x:c>
      <x:c r="E125" s="4" t="inlineStr">
        <x:is>
          <x:t xml:space="preserve">Supply Contracts</x:t>
        </x:is>
      </x:c>
      <x:c r="F125" s="5" t="n">
        <x:v>0.2</x:v>
      </x:c>
      <x:c r="G125" s="4" t="inlineStr">
        <x:is>
          <x:t xml:space="preserve">D6_SC6</x:t>
        </x:is>
      </x:c>
      <x:c r="H125" s="4" t="inlineStr">
        <x:is>
          <x:t xml:space="preserve">Input supply quality</x:t>
        </x:is>
      </x:c>
      <x:c r="I125" s="5" t="n">
        <x:v>1</x:v>
      </x:c>
      <x:c r="J125" s="4" t="inlineStr">
        <x:is>
          <x:t xml:space="preserve">D6_SS16</x:t>
        </x:is>
      </x:c>
      <x:c r="K125" s="4" t="inlineStr">
        <x:is>
          <x:t xml:space="preserve">Sécurité approvisionnement</x:t>
        </x:is>
      </x:c>
      <x:c r="L125" s="5" t="n">
        <x:v>0.35</x:v>
      </x:c>
      <x:c r="M125" s="4" t="inlineStr">
        <x:is>
          <x:t xml:space="preserve"/>
        </x:is>
      </x:c>
      <x:c r="N125" s="4" t="inlineStr">
        <x:is>
          <x:t xml:space="preserve"/>
        </x:is>
      </x:c>
      <x:c r="O125" s="6" t="n"/>
      <x:c r="P125" s="5">
        <x:f>C125*F125*I125*L125</x:f>
        <x:v>0.007000000000000001</x:v>
      </x:c>
      <x:c r="Q125" s="7">
        <x:f>IF(O125="","",O125/10*P125)</x:f>
      </x:c>
    </x:row>
    <x:row r="126">
      <x:c r="A126" s="4" t="inlineStr">
        <x:is>
          <x:t xml:space="preserve">D6</x:t>
        </x:is>
      </x:c>
      <x:c r="B126" s="4" t="inlineStr">
        <x:is>
          <x:t xml:space="preserve">Revenue &amp; Contracts</x:t>
        </x:is>
      </x:c>
      <x:c r="C126" s="5" t="n">
        <x:v>0.1</x:v>
      </x:c>
      <x:c r="D126" s="4" t="inlineStr">
        <x:is>
          <x:t xml:space="preserve">D6_C3</x:t>
        </x:is>
      </x:c>
      <x:c r="E126" s="4" t="inlineStr">
        <x:is>
          <x:t xml:space="preserve">Supply Contracts</x:t>
        </x:is>
      </x:c>
      <x:c r="F126" s="5" t="n">
        <x:v>0.2</x:v>
      </x:c>
      <x:c r="G126" s="4" t="inlineStr">
        <x:is>
          <x:t xml:space="preserve">D6_SC6</x:t>
        </x:is>
      </x:c>
      <x:c r="H126" s="4" t="inlineStr">
        <x:is>
          <x:t xml:space="preserve">Input supply quality</x:t>
        </x:is>
      </x:c>
      <x:c r="I126" s="5" t="n">
        <x:v>1</x:v>
      </x:c>
      <x:c r="J126" s="4" t="inlineStr">
        <x:is>
          <x:t xml:space="preserve">D6_SS17</x:t>
        </x:is>
      </x:c>
      <x:c r="K126" s="4" t="inlineStr">
        <x:is>
          <x:t xml:space="preserve">Formule de prix input</x:t>
        </x:is>
      </x:c>
      <x:c r="L126" s="5" t="n">
        <x:v>0.35</x:v>
      </x:c>
      <x:c r="M126" s="4" t="inlineStr">
        <x:is>
          <x:t xml:space="preserve"/>
        </x:is>
      </x:c>
      <x:c r="N126" s="4" t="inlineStr">
        <x:is>
          <x:t xml:space="preserve"/>
        </x:is>
      </x:c>
      <x:c r="O126" s="6" t="n"/>
      <x:c r="P126" s="5">
        <x:f>C126*F126*I126*L126</x:f>
        <x:v>0.007000000000000001</x:v>
      </x:c>
      <x:c r="Q126" s="7">
        <x:f>IF(O126="","",O126/10*P126)</x:f>
      </x:c>
    </x:row>
    <x:row r="127">
      <x:c r="A127" s="4" t="inlineStr">
        <x:is>
          <x:t xml:space="preserve">D6</x:t>
        </x:is>
      </x:c>
      <x:c r="B127" s="4" t="inlineStr">
        <x:is>
          <x:t xml:space="preserve">Revenue &amp; Contracts</x:t>
        </x:is>
      </x:c>
      <x:c r="C127" s="5" t="n">
        <x:v>0.1</x:v>
      </x:c>
      <x:c r="D127" s="4" t="inlineStr">
        <x:is>
          <x:t xml:space="preserve">D6_C3</x:t>
        </x:is>
      </x:c>
      <x:c r="E127" s="4" t="inlineStr">
        <x:is>
          <x:t xml:space="preserve">Supply Contracts</x:t>
        </x:is>
      </x:c>
      <x:c r="F127" s="5" t="n">
        <x:v>0.2</x:v>
      </x:c>
      <x:c r="G127" s="4" t="inlineStr">
        <x:is>
          <x:t xml:space="preserve">D6_SC6</x:t>
        </x:is>
      </x:c>
      <x:c r="H127" s="4" t="inlineStr">
        <x:is>
          <x:t xml:space="preserve">Input supply quality</x:t>
        </x:is>
      </x:c>
      <x:c r="I127" s="5" t="n">
        <x:v>1</x:v>
      </x:c>
      <x:c r="J127" s="4" t="inlineStr">
        <x:is>
          <x:t xml:space="preserve">D6_SS18</x:t>
        </x:is>
      </x:c>
      <x:c r="K127" s="4" t="inlineStr">
        <x:is>
          <x:t xml:space="preserve">Substitution / multi-sourcing</x:t>
        </x:is>
      </x:c>
      <x:c r="L127" s="5" t="n">
        <x:v>0.3</x:v>
      </x:c>
      <x:c r="M127" s="4" t="inlineStr">
        <x:is>
          <x:t xml:space="preserve"/>
        </x:is>
      </x:c>
      <x:c r="N127" s="4" t="inlineStr">
        <x:is>
          <x:t xml:space="preserve"/>
        </x:is>
      </x:c>
      <x:c r="O127" s="6" t="n"/>
      <x:c r="P127" s="5">
        <x:f>C127*F127*I127*L127</x:f>
        <x:v>0.006000000000000001</x:v>
      </x:c>
      <x:c r="Q127" s="7">
        <x:f>IF(O127="","",O127/10*P127)</x:f>
      </x:c>
    </x:row>
    <x:row r="128">
      <x:c r="A128" s="4" t="inlineStr">
        <x:is>
          <x:t xml:space="preserve">D7</x:t>
        </x:is>
      </x:c>
      <x:c r="B128" s="4" t="inlineStr">
        <x:is>
          <x:t xml:space="preserve">Risk Allocation</x:t>
        </x:is>
      </x:c>
      <x:c r="C128" s="5" t="n">
        <x:v>0.1</x:v>
      </x:c>
      <x:c r="D128" s="4" t="inlineStr">
        <x:is>
          <x:t xml:space="preserve">D7_C1</x:t>
        </x:is>
      </x:c>
      <x:c r="E128" s="4" t="inlineStr">
        <x:is>
          <x:t xml:space="preserve">Allocation Efficiency</x:t>
        </x:is>
      </x:c>
      <x:c r="F128" s="5" t="n">
        <x:v>0.6</x:v>
      </x:c>
      <x:c r="G128" s="4" t="inlineStr">
        <x:is>
          <x:t xml:space="preserve">D7_SC1</x:t>
        </x:is>
      </x:c>
      <x:c r="H128" s="4" t="inlineStr">
        <x:is>
          <x:t xml:space="preserve">Construction risks allocation</x:t>
        </x:is>
      </x:c>
      <x:c r="I128" s="5" t="n">
        <x:v>0.35</x:v>
      </x:c>
      <x:c r="J128" s="4" t="inlineStr">
        <x:is>
          <x:t xml:space="preserve">D7_SS1</x:t>
        </x:is>
      </x:c>
      <x:c r="K128" s="4" t="inlineStr">
        <x:is>
          <x:t xml:space="preserve">Risque délai alloué au bon acteur</x:t>
        </x:is>
      </x:c>
      <x:c r="L128" s="5" t="n">
        <x:v>0.35</x:v>
      </x:c>
      <x:c r="M128" s="4" t="inlineStr">
        <x:is>
          <x:t xml:space="preserve"/>
        </x:is>
      </x:c>
      <x:c r="N128" s="4" t="inlineStr">
        <x:is>
          <x:t xml:space="preserve"/>
        </x:is>
      </x:c>
      <x:c r="O128" s="6" t="n"/>
      <x:c r="P128" s="5">
        <x:f>C128*F128*I128*L128</x:f>
        <x:v>0.007349999999999999</x:v>
      </x:c>
      <x:c r="Q128" s="7">
        <x:f>IF(O128="","",O128/10*P128)</x:f>
      </x:c>
    </x:row>
    <x:row r="129">
      <x:c r="A129" s="4" t="inlineStr">
        <x:is>
          <x:t xml:space="preserve">D7</x:t>
        </x:is>
      </x:c>
      <x:c r="B129" s="4" t="inlineStr">
        <x:is>
          <x:t xml:space="preserve">Risk Allocation</x:t>
        </x:is>
      </x:c>
      <x:c r="C129" s="5" t="n">
        <x:v>0.1</x:v>
      </x:c>
      <x:c r="D129" s="4" t="inlineStr">
        <x:is>
          <x:t xml:space="preserve">D7_C1</x:t>
        </x:is>
      </x:c>
      <x:c r="E129" s="4" t="inlineStr">
        <x:is>
          <x:t xml:space="preserve">Allocation Efficiency</x:t>
        </x:is>
      </x:c>
      <x:c r="F129" s="5" t="n">
        <x:v>0.6</x:v>
      </x:c>
      <x:c r="G129" s="4" t="inlineStr">
        <x:is>
          <x:t xml:space="preserve">D7_SC1</x:t>
        </x:is>
      </x:c>
      <x:c r="H129" s="4" t="inlineStr">
        <x:is>
          <x:t xml:space="preserve">Construction risks allocation</x:t>
        </x:is>
      </x:c>
      <x:c r="I129" s="5" t="n">
        <x:v>0.35</x:v>
      </x:c>
      <x:c r="J129" s="4" t="inlineStr">
        <x:is>
          <x:t xml:space="preserve">D7_SS2</x:t>
        </x:is>
      </x:c>
      <x:c r="K129" s="4" t="inlineStr">
        <x:is>
          <x:t xml:space="preserve">Risque coût alloué au bon acteur</x:t>
        </x:is>
      </x:c>
      <x:c r="L129" s="5" t="n">
        <x:v>0.35</x:v>
      </x:c>
      <x:c r="M129" s="4" t="inlineStr">
        <x:is>
          <x:t xml:space="preserve"/>
        </x:is>
      </x:c>
      <x:c r="N129" s="4" t="inlineStr">
        <x:is>
          <x:t xml:space="preserve"/>
        </x:is>
      </x:c>
      <x:c r="O129" s="6" t="n"/>
      <x:c r="P129" s="5">
        <x:f>C129*F129*I129*L129</x:f>
        <x:v>0.007349999999999999</x:v>
      </x:c>
      <x:c r="Q129" s="7">
        <x:f>IF(O129="","",O129/10*P129)</x:f>
      </x:c>
    </x:row>
    <x:row r="130">
      <x:c r="A130" s="4" t="inlineStr">
        <x:is>
          <x:t xml:space="preserve">D7</x:t>
        </x:is>
      </x:c>
      <x:c r="B130" s="4" t="inlineStr">
        <x:is>
          <x:t xml:space="preserve">Risk Allocation</x:t>
        </x:is>
      </x:c>
      <x:c r="C130" s="5" t="n">
        <x:v>0.1</x:v>
      </x:c>
      <x:c r="D130" s="4" t="inlineStr">
        <x:is>
          <x:t xml:space="preserve">D7_C1</x:t>
        </x:is>
      </x:c>
      <x:c r="E130" s="4" t="inlineStr">
        <x:is>
          <x:t xml:space="preserve">Allocation Efficiency</x:t>
        </x:is>
      </x:c>
      <x:c r="F130" s="5" t="n">
        <x:v>0.6</x:v>
      </x:c>
      <x:c r="G130" s="4" t="inlineStr">
        <x:is>
          <x:t xml:space="preserve">D7_SC1</x:t>
        </x:is>
      </x:c>
      <x:c r="H130" s="4" t="inlineStr">
        <x:is>
          <x:t xml:space="preserve">Construction risks allocation</x:t>
        </x:is>
      </x:c>
      <x:c r="I130" s="5" t="n">
        <x:v>0.35</x:v>
      </x:c>
      <x:c r="J130" s="4" t="inlineStr">
        <x:is>
          <x:t xml:space="preserve">D7_SS3</x:t>
        </x:is>
      </x:c>
      <x:c r="K130" s="4" t="inlineStr">
        <x:is>
          <x:t xml:space="preserve">Couverture performance/commissioning</x:t>
        </x:is>
      </x:c>
      <x:c r="L130" s="5" t="n">
        <x:v>0.3</x:v>
      </x:c>
      <x:c r="M130" s="4" t="inlineStr">
        <x:is>
          <x:t xml:space="preserve"/>
        </x:is>
      </x:c>
      <x:c r="N130" s="4" t="inlineStr">
        <x:is>
          <x:t xml:space="preserve"/>
        </x:is>
      </x:c>
      <x:c r="O130" s="6" t="n"/>
      <x:c r="P130" s="5">
        <x:f>C130*F130*I130*L130</x:f>
        <x:v>0.006299999999999999</x:v>
      </x:c>
      <x:c r="Q130" s="7">
        <x:f>IF(O130="","",O130/10*P130)</x:f>
      </x:c>
    </x:row>
    <x:row r="131">
      <x:c r="A131" s="4" t="inlineStr">
        <x:is>
          <x:t xml:space="preserve">D7</x:t>
        </x:is>
      </x:c>
      <x:c r="B131" s="4" t="inlineStr">
        <x:is>
          <x:t xml:space="preserve">Risk Allocation</x:t>
        </x:is>
      </x:c>
      <x:c r="C131" s="5" t="n">
        <x:v>0.1</x:v>
      </x:c>
      <x:c r="D131" s="4" t="inlineStr">
        <x:is>
          <x:t xml:space="preserve">D7_C1</x:t>
        </x:is>
      </x:c>
      <x:c r="E131" s="4" t="inlineStr">
        <x:is>
          <x:t xml:space="preserve">Allocation Efficiency</x:t>
        </x:is>
      </x:c>
      <x:c r="F131" s="5" t="n">
        <x:v>0.6</x:v>
      </x:c>
      <x:c r="G131" s="4" t="inlineStr">
        <x:is>
          <x:t xml:space="preserve">D7_SC2</x:t>
        </x:is>
      </x:c>
      <x:c r="H131" s="4" t="inlineStr">
        <x:is>
          <x:t xml:space="preserve">Operating risks allocation</x:t>
        </x:is>
      </x:c>
      <x:c r="I131" s="5" t="n">
        <x:v>0.35</x:v>
      </x:c>
      <x:c r="J131" s="4" t="inlineStr">
        <x:is>
          <x:t xml:space="preserve">D7_SS4</x:t>
        </x:is>
      </x:c>
      <x:c r="K131" s="4" t="inlineStr">
        <x:is>
          <x:t xml:space="preserve">Disponibilité / performance allouée</x:t>
        </x:is>
      </x:c>
      <x:c r="L131" s="5" t="n">
        <x:v>0.4</x:v>
      </x:c>
      <x:c r="M131" s="4" t="inlineStr">
        <x:is>
          <x:t xml:space="preserve"/>
        </x:is>
      </x:c>
      <x:c r="N131" s="4" t="inlineStr">
        <x:is>
          <x:t xml:space="preserve"/>
        </x:is>
      </x:c>
      <x:c r="O131" s="6" t="n"/>
      <x:c r="P131" s="5">
        <x:f>C131*F131*I131*L131</x:f>
        <x:v>0.0084</x:v>
      </x:c>
      <x:c r="Q131" s="7">
        <x:f>IF(O131="","",O131/10*P131)</x:f>
      </x:c>
    </x:row>
    <x:row r="132">
      <x:c r="A132" s="4" t="inlineStr">
        <x:is>
          <x:t xml:space="preserve">D7</x:t>
        </x:is>
      </x:c>
      <x:c r="B132" s="4" t="inlineStr">
        <x:is>
          <x:t xml:space="preserve">Risk Allocation</x:t>
        </x:is>
      </x:c>
      <x:c r="C132" s="5" t="n">
        <x:v>0.1</x:v>
      </x:c>
      <x:c r="D132" s="4" t="inlineStr">
        <x:is>
          <x:t xml:space="preserve">D7_C1</x:t>
        </x:is>
      </x:c>
      <x:c r="E132" s="4" t="inlineStr">
        <x:is>
          <x:t xml:space="preserve">Allocation Efficiency</x:t>
        </x:is>
      </x:c>
      <x:c r="F132" s="5" t="n">
        <x:v>0.6</x:v>
      </x:c>
      <x:c r="G132" s="4" t="inlineStr">
        <x:is>
          <x:t xml:space="preserve">D7_SC2</x:t>
        </x:is>
      </x:c>
      <x:c r="H132" s="4" t="inlineStr">
        <x:is>
          <x:t xml:space="preserve">Operating risks allocation</x:t>
        </x:is>
      </x:c>
      <x:c r="I132" s="5" t="n">
        <x:v>0.35</x:v>
      </x:c>
      <x:c r="J132" s="4" t="inlineStr">
        <x:is>
          <x:t xml:space="preserve">D7_SS5</x:t>
        </x:is>
      </x:c>
      <x:c r="K132" s="4" t="inlineStr">
        <x:is>
          <x:t xml:space="preserve">Approvisionnement / input risk alloué</x:t>
        </x:is>
      </x:c>
      <x:c r="L132" s="5" t="n">
        <x:v>0.3</x:v>
      </x:c>
      <x:c r="M132" s="4" t="inlineStr">
        <x:is>
          <x:t xml:space="preserve"/>
        </x:is>
      </x:c>
      <x:c r="N132" s="4" t="inlineStr">
        <x:is>
          <x:t xml:space="preserve"/>
        </x:is>
      </x:c>
      <x:c r="O132" s="6" t="n"/>
      <x:c r="P132" s="5">
        <x:f>C132*F132*I132*L132</x:f>
        <x:v>0.006299999999999999</x:v>
      </x:c>
      <x:c r="Q132" s="7">
        <x:f>IF(O132="","",O132/10*P132)</x:f>
      </x:c>
    </x:row>
    <x:row r="133">
      <x:c r="A133" s="4" t="inlineStr">
        <x:is>
          <x:t xml:space="preserve">D7</x:t>
        </x:is>
      </x:c>
      <x:c r="B133" s="4" t="inlineStr">
        <x:is>
          <x:t xml:space="preserve">Risk Allocation</x:t>
        </x:is>
      </x:c>
      <x:c r="C133" s="5" t="n">
        <x:v>0.1</x:v>
      </x:c>
      <x:c r="D133" s="4" t="inlineStr">
        <x:is>
          <x:t xml:space="preserve">D7_C1</x:t>
        </x:is>
      </x:c>
      <x:c r="E133" s="4" t="inlineStr">
        <x:is>
          <x:t xml:space="preserve">Allocation Efficiency</x:t>
        </x:is>
      </x:c>
      <x:c r="F133" s="5" t="n">
        <x:v>0.6</x:v>
      </x:c>
      <x:c r="G133" s="4" t="inlineStr">
        <x:is>
          <x:t xml:space="preserve">D7_SC2</x:t>
        </x:is>
      </x:c>
      <x:c r="H133" s="4" t="inlineStr">
        <x:is>
          <x:t xml:space="preserve">Operating risks allocation</x:t>
        </x:is>
      </x:c>
      <x:c r="I133" s="5" t="n">
        <x:v>0.35</x:v>
      </x:c>
      <x:c r="J133" s="4" t="inlineStr">
        <x:is>
          <x:t xml:space="preserve">D7_SS6</x:t>
        </x:is>
      </x:c>
      <x:c r="K133" s="4" t="inlineStr">
        <x:is>
          <x:t xml:space="preserve">Maintenance / obsolescence allouée</x:t>
        </x:is>
      </x:c>
      <x:c r="L133" s="5" t="n">
        <x:v>0.3</x:v>
      </x:c>
      <x:c r="M133" s="4" t="inlineStr">
        <x:is>
          <x:t xml:space="preserve"/>
        </x:is>
      </x:c>
      <x:c r="N133" s="4" t="inlineStr">
        <x:is>
          <x:t xml:space="preserve"/>
        </x:is>
      </x:c>
      <x:c r="O133" s="6" t="n"/>
      <x:c r="P133" s="5">
        <x:f>C133*F133*I133*L133</x:f>
        <x:v>0.006299999999999999</x:v>
      </x:c>
      <x:c r="Q133" s="7">
        <x:f>IF(O133="","",O133/10*P133)</x:f>
      </x:c>
    </x:row>
    <x:row r="134">
      <x:c r="A134" s="4" t="inlineStr">
        <x:is>
          <x:t xml:space="preserve">D7</x:t>
        </x:is>
      </x:c>
      <x:c r="B134" s="4" t="inlineStr">
        <x:is>
          <x:t xml:space="preserve">Risk Allocation</x:t>
        </x:is>
      </x:c>
      <x:c r="C134" s="5" t="n">
        <x:v>0.1</x:v>
      </x:c>
      <x:c r="D134" s="4" t="inlineStr">
        <x:is>
          <x:t xml:space="preserve">D7_C1</x:t>
        </x:is>
      </x:c>
      <x:c r="E134" s="4" t="inlineStr">
        <x:is>
          <x:t xml:space="preserve">Allocation Efficiency</x:t>
        </x:is>
      </x:c>
      <x:c r="F134" s="5" t="n">
        <x:v>0.6</x:v>
      </x:c>
      <x:c r="G134" s="4" t="inlineStr">
        <x:is>
          <x:t xml:space="preserve">D7_SC3</x:t>
        </x:is>
      </x:c>
      <x:c r="H134" s="4" t="inlineStr">
        <x:is>
          <x:t xml:space="preserve">External risks allocation</x:t>
        </x:is>
      </x:c>
      <x:c r="I134" s="5" t="n">
        <x:v>0.3</x:v>
      </x:c>
      <x:c r="J134" s="4" t="inlineStr">
        <x:is>
          <x:t xml:space="preserve">D7_SS7</x:t>
        </x:is>
      </x:c>
      <x:c r="K134" s="4" t="inlineStr">
        <x:is>
          <x:t xml:space="preserve">Change in law / political risk</x:t>
        </x:is>
      </x:c>
      <x:c r="L134" s="5" t="n">
        <x:v>0.35</x:v>
      </x:c>
      <x:c r="M134" s="4" t="inlineStr">
        <x:is>
          <x:t xml:space="preserve"/>
        </x:is>
      </x:c>
      <x:c r="N134" s="4" t="inlineStr">
        <x:is>
          <x:t xml:space="preserve"/>
        </x:is>
      </x:c>
      <x:c r="O134" s="6" t="n"/>
      <x:c r="P134" s="5">
        <x:f>C134*F134*I134*L134</x:f>
        <x:v>0.006299999999999999</x:v>
      </x:c>
      <x:c r="Q134" s="7">
        <x:f>IF(O134="","",O134/10*P134)</x:f>
      </x:c>
    </x:row>
    <x:row r="135">
      <x:c r="A135" s="4" t="inlineStr">
        <x:is>
          <x:t xml:space="preserve">D7</x:t>
        </x:is>
      </x:c>
      <x:c r="B135" s="4" t="inlineStr">
        <x:is>
          <x:t xml:space="preserve">Risk Allocation</x:t>
        </x:is>
      </x:c>
      <x:c r="C135" s="5" t="n">
        <x:v>0.1</x:v>
      </x:c>
      <x:c r="D135" s="4" t="inlineStr">
        <x:is>
          <x:t xml:space="preserve">D7_C1</x:t>
        </x:is>
      </x:c>
      <x:c r="E135" s="4" t="inlineStr">
        <x:is>
          <x:t xml:space="preserve">Allocation Efficiency</x:t>
        </x:is>
      </x:c>
      <x:c r="F135" s="5" t="n">
        <x:v>0.6</x:v>
      </x:c>
      <x:c r="G135" s="4" t="inlineStr">
        <x:is>
          <x:t xml:space="preserve">D7_SC3</x:t>
        </x:is>
      </x:c>
      <x:c r="H135" s="4" t="inlineStr">
        <x:is>
          <x:t xml:space="preserve">External risks allocation</x:t>
        </x:is>
      </x:c>
      <x:c r="I135" s="5" t="n">
        <x:v>0.3</x:v>
      </x:c>
      <x:c r="J135" s="4" t="inlineStr">
        <x:is>
          <x:t xml:space="preserve">D7_SS8</x:t>
        </x:is>
      </x:c>
      <x:c r="K135" s="4" t="inlineStr">
        <x:is>
          <x:t xml:space="preserve">Force majeure</x:t>
        </x:is>
      </x:c>
      <x:c r="L135" s="5" t="n">
        <x:v>0.35</x:v>
      </x:c>
      <x:c r="M135" s="4" t="inlineStr">
        <x:is>
          <x:t xml:space="preserve"/>
        </x:is>
      </x:c>
      <x:c r="N135" s="4" t="inlineStr">
        <x:is>
          <x:t xml:space="preserve"/>
        </x:is>
      </x:c>
      <x:c r="O135" s="6" t="n"/>
      <x:c r="P135" s="5">
        <x:f>C135*F135*I135*L135</x:f>
        <x:v>0.006299999999999999</x:v>
      </x:c>
      <x:c r="Q135" s="7">
        <x:f>IF(O135="","",O135/10*P135)</x:f>
      </x:c>
    </x:row>
    <x:row r="136">
      <x:c r="A136" s="4" t="inlineStr">
        <x:is>
          <x:t xml:space="preserve">D7</x:t>
        </x:is>
      </x:c>
      <x:c r="B136" s="4" t="inlineStr">
        <x:is>
          <x:t xml:space="preserve">Risk Allocation</x:t>
        </x:is>
      </x:c>
      <x:c r="C136" s="5" t="n">
        <x:v>0.1</x:v>
      </x:c>
      <x:c r="D136" s="4" t="inlineStr">
        <x:is>
          <x:t xml:space="preserve">D7_C1</x:t>
        </x:is>
      </x:c>
      <x:c r="E136" s="4" t="inlineStr">
        <x:is>
          <x:t xml:space="preserve">Allocation Efficiency</x:t>
        </x:is>
      </x:c>
      <x:c r="F136" s="5" t="n">
        <x:v>0.6</x:v>
      </x:c>
      <x:c r="G136" s="4" t="inlineStr">
        <x:is>
          <x:t xml:space="preserve">D7_SC3</x:t>
        </x:is>
      </x:c>
      <x:c r="H136" s="4" t="inlineStr">
        <x:is>
          <x:t xml:space="preserve">External risks allocation</x:t>
        </x:is>
      </x:c>
      <x:c r="I136" s="5" t="n">
        <x:v>0.3</x:v>
      </x:c>
      <x:c r="J136" s="4" t="inlineStr">
        <x:is>
          <x:t xml:space="preserve">D7_SS9</x:t>
        </x:is>
      </x:c>
      <x:c r="K136" s="4" t="inlineStr">
        <x:is>
          <x:t xml:space="preserve">Assurabilité des risques résiduels</x:t>
        </x:is>
      </x:c>
      <x:c r="L136" s="5" t="n">
        <x:v>0.3</x:v>
      </x:c>
      <x:c r="M136" s="4" t="inlineStr">
        <x:is>
          <x:t xml:space="preserve"/>
        </x:is>
      </x:c>
      <x:c r="N136" s="4" t="inlineStr">
        <x:is>
          <x:t xml:space="preserve"/>
        </x:is>
      </x:c>
      <x:c r="O136" s="6" t="n"/>
      <x:c r="P136" s="5">
        <x:f>C136*F136*I136*L136</x:f>
        <x:v>0.005399999999999999</x:v>
      </x:c>
      <x:c r="Q136" s="7">
        <x:f>IF(O136="","",O136/10*P136)</x:f>
      </x:c>
    </x:row>
    <x:row r="137">
      <x:c r="A137" s="4" t="inlineStr">
        <x:is>
          <x:t xml:space="preserve">D7</x:t>
        </x:is>
      </x:c>
      <x:c r="B137" s="4" t="inlineStr">
        <x:is>
          <x:t xml:space="preserve">Risk Allocation</x:t>
        </x:is>
      </x:c>
      <x:c r="C137" s="5" t="n">
        <x:v>0.1</x:v>
      </x:c>
      <x:c r="D137" s="4" t="inlineStr">
        <x:is>
          <x:t xml:space="preserve">D7_C2</x:t>
        </x:is>
      </x:c>
      <x:c r="E137" s="4" t="inlineStr">
        <x:is>
          <x:t xml:space="preserve">Residual Risk to Lenders</x:t>
        </x:is>
      </x:c>
      <x:c r="F137" s="5" t="n">
        <x:v>0.4</x:v>
      </x:c>
      <x:c r="G137" s="4" t="inlineStr">
        <x:is>
          <x:t xml:space="preserve">D7_SC4</x:t>
        </x:is>
      </x:c>
      <x:c r="H137" s="4" t="inlineStr">
        <x:is>
          <x:t xml:space="preserve">Lender protections</x:t>
        </x:is>
      </x:c>
      <x:c r="I137" s="5" t="n">
        <x:v>0.5</x:v>
      </x:c>
      <x:c r="J137" s="4" t="inlineStr">
        <x:is>
          <x:t xml:space="preserve">D7_SS10</x:t>
        </x:is>
      </x:c>
      <x:c r="K137" s="4" t="inlineStr">
        <x:is>
          <x:t xml:space="preserve">Direct agreements</x:t>
        </x:is>
      </x:c>
      <x:c r="L137" s="5" t="n">
        <x:v>0.35</x:v>
      </x:c>
      <x:c r="M137" s="4" t="inlineStr">
        <x:is>
          <x:t xml:space="preserve"/>
        </x:is>
      </x:c>
      <x:c r="N137" s="4" t="inlineStr">
        <x:is>
          <x:t xml:space="preserve"/>
        </x:is>
      </x:c>
      <x:c r="O137" s="6" t="n"/>
      <x:c r="P137" s="5">
        <x:f>C137*F137*I137*L137</x:f>
        <x:v>0.007000000000000001</x:v>
      </x:c>
      <x:c r="Q137" s="7">
        <x:f>IF(O137="","",O137/10*P137)</x:f>
      </x:c>
    </x:row>
    <x:row r="138">
      <x:c r="A138" s="4" t="inlineStr">
        <x:is>
          <x:t xml:space="preserve">D7</x:t>
        </x:is>
      </x:c>
      <x:c r="B138" s="4" t="inlineStr">
        <x:is>
          <x:t xml:space="preserve">Risk Allocation</x:t>
        </x:is>
      </x:c>
      <x:c r="C138" s="5" t="n">
        <x:v>0.1</x:v>
      </x:c>
      <x:c r="D138" s="4" t="inlineStr">
        <x:is>
          <x:t xml:space="preserve">D7_C2</x:t>
        </x:is>
      </x:c>
      <x:c r="E138" s="4" t="inlineStr">
        <x:is>
          <x:t xml:space="preserve">Residual Risk to Lenders</x:t>
        </x:is>
      </x:c>
      <x:c r="F138" s="5" t="n">
        <x:v>0.4</x:v>
      </x:c>
      <x:c r="G138" s="4" t="inlineStr">
        <x:is>
          <x:t xml:space="preserve">D7_SC4</x:t>
        </x:is>
      </x:c>
      <x:c r="H138" s="4" t="inlineStr">
        <x:is>
          <x:t xml:space="preserve">Lender protections</x:t>
        </x:is>
      </x:c>
      <x:c r="I138" s="5" t="n">
        <x:v>0.5</x:v>
      </x:c>
      <x:c r="J138" s="4" t="inlineStr">
        <x:is>
          <x:t xml:space="preserve">D7_SS11</x:t>
        </x:is>
      </x:c>
      <x:c r="K138" s="4" t="inlineStr">
        <x:is>
          <x:t xml:space="preserve">Step-in rights</x:t>
        </x:is>
      </x:c>
      <x:c r="L138" s="5" t="n">
        <x:v>0.35</x:v>
      </x:c>
      <x:c r="M138" s="4" t="inlineStr">
        <x:is>
          <x:t xml:space="preserve"/>
        </x:is>
      </x:c>
      <x:c r="N138" s="4" t="inlineStr">
        <x:is>
          <x:t xml:space="preserve"/>
        </x:is>
      </x:c>
      <x:c r="O138" s="6" t="n"/>
      <x:c r="P138" s="5">
        <x:f>C138*F138*I138*L138</x:f>
        <x:v>0.007000000000000001</x:v>
      </x:c>
      <x:c r="Q138" s="7">
        <x:f>IF(O138="","",O138/10*P138)</x:f>
      </x:c>
    </x:row>
    <x:row r="139">
      <x:c r="A139" s="4" t="inlineStr">
        <x:is>
          <x:t xml:space="preserve">D7</x:t>
        </x:is>
      </x:c>
      <x:c r="B139" s="4" t="inlineStr">
        <x:is>
          <x:t xml:space="preserve">Risk Allocation</x:t>
        </x:is>
      </x:c>
      <x:c r="C139" s="5" t="n">
        <x:v>0.1</x:v>
      </x:c>
      <x:c r="D139" s="4" t="inlineStr">
        <x:is>
          <x:t xml:space="preserve">D7_C2</x:t>
        </x:is>
      </x:c>
      <x:c r="E139" s="4" t="inlineStr">
        <x:is>
          <x:t xml:space="preserve">Residual Risk to Lenders</x:t>
        </x:is>
      </x:c>
      <x:c r="F139" s="5" t="n">
        <x:v>0.4</x:v>
      </x:c>
      <x:c r="G139" s="4" t="inlineStr">
        <x:is>
          <x:t xml:space="preserve">D7_SC4</x:t>
        </x:is>
      </x:c>
      <x:c r="H139" s="4" t="inlineStr">
        <x:is>
          <x:t xml:space="preserve">Lender protections</x:t>
        </x:is>
      </x:c>
      <x:c r="I139" s="5" t="n">
        <x:v>0.5</x:v>
      </x:c>
      <x:c r="J139" s="4" t="inlineStr">
        <x:is>
          <x:t xml:space="preserve">D7_SS12</x:t>
        </x:is>
      </x:c>
      <x:c r="K139" s="4" t="inlineStr">
        <x:is>
          <x:t xml:space="preserve">Security package enforceability</x:t>
        </x:is>
      </x:c>
      <x:c r="L139" s="5" t="n">
        <x:v>0.3</x:v>
      </x:c>
      <x:c r="M139" s="4" t="inlineStr">
        <x:is>
          <x:t xml:space="preserve"/>
        </x:is>
      </x:c>
      <x:c r="N139" s="4" t="inlineStr">
        <x:is>
          <x:t xml:space="preserve"/>
        </x:is>
      </x:c>
      <x:c r="O139" s="6" t="n"/>
      <x:c r="P139" s="5">
        <x:f>C139*F139*I139*L139</x:f>
        <x:v>0.006000000000000001</x:v>
      </x:c>
      <x:c r="Q139" s="7">
        <x:f>IF(O139="","",O139/10*P139)</x:f>
      </x:c>
    </x:row>
    <x:row r="140">
      <x:c r="A140" s="4" t="inlineStr">
        <x:is>
          <x:t xml:space="preserve">D7</x:t>
        </x:is>
      </x:c>
      <x:c r="B140" s="4" t="inlineStr">
        <x:is>
          <x:t xml:space="preserve">Risk Allocation</x:t>
        </x:is>
      </x:c>
      <x:c r="C140" s="5" t="n">
        <x:v>0.1</x:v>
      </x:c>
      <x:c r="D140" s="4" t="inlineStr">
        <x:is>
          <x:t xml:space="preserve">D7_C2</x:t>
        </x:is>
      </x:c>
      <x:c r="E140" s="4" t="inlineStr">
        <x:is>
          <x:t xml:space="preserve">Residual Risk to Lenders</x:t>
        </x:is>
      </x:c>
      <x:c r="F140" s="5" t="n">
        <x:v>0.4</x:v>
      </x:c>
      <x:c r="G140" s="4" t="inlineStr">
        <x:is>
          <x:t xml:space="preserve">D7_SC5</x:t>
        </x:is>
      </x:c>
      <x:c r="H140" s="4" t="inlineStr">
        <x:is>
          <x:t xml:space="preserve">Residual exposures</x:t>
        </x:is>
      </x:c>
      <x:c r="I140" s="5" t="n">
        <x:v>0.5</x:v>
      </x:c>
      <x:c r="J140" s="4" t="inlineStr">
        <x:is>
          <x:t xml:space="preserve">D7_SS13</x:t>
        </x:is>
      </x:c>
      <x:c r="K140" s="4" t="inlineStr">
        <x:is>
          <x:t xml:space="preserve">Risque résiduel non transféré</x:t>
        </x:is>
      </x:c>
      <x:c r="L140" s="5" t="n">
        <x:v>0.4</x:v>
      </x:c>
      <x:c r="M140" s="4" t="inlineStr">
        <x:is>
          <x:t xml:space="preserve"/>
        </x:is>
      </x:c>
      <x:c r="N140" s="4" t="inlineStr">
        <x:is>
          <x:t xml:space="preserve"/>
        </x:is>
      </x:c>
      <x:c r="O140" s="6" t="n"/>
      <x:c r="P140" s="5">
        <x:f>C140*F140*I140*L140</x:f>
        <x:v>0.008000000000000002</x:v>
      </x:c>
      <x:c r="Q140" s="7">
        <x:f>IF(O140="","",O140/10*P140)</x:f>
      </x:c>
    </x:row>
    <x:row r="141">
      <x:c r="A141" s="4" t="inlineStr">
        <x:is>
          <x:t xml:space="preserve">D7</x:t>
        </x:is>
      </x:c>
      <x:c r="B141" s="4" t="inlineStr">
        <x:is>
          <x:t xml:space="preserve">Risk Allocation</x:t>
        </x:is>
      </x:c>
      <x:c r="C141" s="5" t="n">
        <x:v>0.1</x:v>
      </x:c>
      <x:c r="D141" s="4" t="inlineStr">
        <x:is>
          <x:t xml:space="preserve">D7_C2</x:t>
        </x:is>
      </x:c>
      <x:c r="E141" s="4" t="inlineStr">
        <x:is>
          <x:t xml:space="preserve">Residual Risk to Lenders</x:t>
        </x:is>
      </x:c>
      <x:c r="F141" s="5" t="n">
        <x:v>0.4</x:v>
      </x:c>
      <x:c r="G141" s="4" t="inlineStr">
        <x:is>
          <x:t xml:space="preserve">D7_SC5</x:t>
        </x:is>
      </x:c>
      <x:c r="H141" s="4" t="inlineStr">
        <x:is>
          <x:t xml:space="preserve">Residual exposures</x:t>
        </x:is>
      </x:c>
      <x:c r="I141" s="5" t="n">
        <x:v>0.5</x:v>
      </x:c>
      <x:c r="J141" s="4" t="inlineStr">
        <x:is>
          <x:t xml:space="preserve">D7_SS14</x:t>
        </x:is>
      </x:c>
      <x:c r="K141" s="4" t="inlineStr">
        <x:is>
          <x:t xml:space="preserve">Interdépendances contractuelles</x:t>
        </x:is>
      </x:c>
      <x:c r="L141" s="5" t="n">
        <x:v>0.3</x:v>
      </x:c>
      <x:c r="M141" s="4" t="inlineStr">
        <x:is>
          <x:t xml:space="preserve"/>
        </x:is>
      </x:c>
      <x:c r="N141" s="4" t="inlineStr">
        <x:is>
          <x:t xml:space="preserve"/>
        </x:is>
      </x:c>
      <x:c r="O141" s="6" t="n"/>
      <x:c r="P141" s="5">
        <x:f>C141*F141*I141*L141</x:f>
        <x:v>0.006000000000000001</x:v>
      </x:c>
      <x:c r="Q141" s="7">
        <x:f>IF(O141="","",O141/10*P141)</x:f>
      </x:c>
    </x:row>
    <x:row r="142">
      <x:c r="A142" s="4" t="inlineStr">
        <x:is>
          <x:t xml:space="preserve">D7</x:t>
        </x:is>
      </x:c>
      <x:c r="B142" s="4" t="inlineStr">
        <x:is>
          <x:t xml:space="preserve">Risk Allocation</x:t>
        </x:is>
      </x:c>
      <x:c r="C142" s="5" t="n">
        <x:v>0.1</x:v>
      </x:c>
      <x:c r="D142" s="4" t="inlineStr">
        <x:is>
          <x:t xml:space="preserve">D7_C2</x:t>
        </x:is>
      </x:c>
      <x:c r="E142" s="4" t="inlineStr">
        <x:is>
          <x:t xml:space="preserve">Residual Risk to Lenders</x:t>
        </x:is>
      </x:c>
      <x:c r="F142" s="5" t="n">
        <x:v>0.4</x:v>
      </x:c>
      <x:c r="G142" s="4" t="inlineStr">
        <x:is>
          <x:t xml:space="preserve">D7_SC5</x:t>
        </x:is>
      </x:c>
      <x:c r="H142" s="4" t="inlineStr">
        <x:is>
          <x:t xml:space="preserve">Residual exposures</x:t>
        </x:is>
      </x:c>
      <x:c r="I142" s="5" t="n">
        <x:v>0.5</x:v>
      </x:c>
      <x:c r="J142" s="4" t="inlineStr">
        <x:is>
          <x:t xml:space="preserve">D7_SS15</x:t>
        </x:is>
      </x:c>
      <x:c r="K142" s="4" t="inlineStr">
        <x:is>
          <x:t xml:space="preserve">Corrélation des risques</x:t>
        </x:is>
      </x:c>
      <x:c r="L142" s="5" t="n">
        <x:v>0.3</x:v>
      </x:c>
      <x:c r="M142" s="4" t="inlineStr">
        <x:is>
          <x:t xml:space="preserve"/>
        </x:is>
      </x:c>
      <x:c r="N142" s="4" t="inlineStr">
        <x:is>
          <x:t xml:space="preserve"/>
        </x:is>
      </x:c>
      <x:c r="O142" s="6" t="n"/>
      <x:c r="P142" s="5">
        <x:f>C142*F142*I142*L142</x:f>
        <x:v>0.006000000000000001</x:v>
      </x:c>
      <x:c r="Q142" s="7">
        <x:f>IF(O142="","",O142/10*P142)</x:f>
      </x:c>
    </x:row>
    <x:row r="143">
      <x:c r="A143" s="4" t="inlineStr">
        <x:is>
          <x:t xml:space="preserve">D8</x:t>
        </x:is>
      </x:c>
      <x:c r="B143" s="4" t="inlineStr">
        <x:is>
          <x:t xml:space="preserve">Legal &amp; Documentation</x:t>
        </x:is>
      </x:c>
      <x:c r="C143" s="5" t="n">
        <x:v>0.05</x:v>
      </x:c>
      <x:c r="D143" s="4" t="inlineStr">
        <x:is>
          <x:t xml:space="preserve">D8_C1</x:t>
        </x:is>
      </x:c>
      <x:c r="E143" s="4" t="inlineStr">
        <x:is>
          <x:t xml:space="preserve">Documentation Completeness</x:t>
        </x:is>
      </x:c>
      <x:c r="F143" s="5" t="n">
        <x:v>0.45</x:v>
      </x:c>
      <x:c r="G143" s="4" t="inlineStr">
        <x:is>
          <x:t xml:space="preserve">D8_SC1</x:t>
        </x:is>
      </x:c>
      <x:c r="H143" s="4" t="inlineStr">
        <x:is>
          <x:t xml:space="preserve">Core finance docs</x:t>
        </x:is>
      </x:c>
      <x:c r="I143" s="5" t="n">
        <x:v>0.5</x:v>
      </x:c>
      <x:c r="J143" s="4" t="inlineStr">
        <x:is>
          <x:t xml:space="preserve">D8_SS1</x:t>
        </x:is>
      </x:c>
      <x:c r="K143" s="4" t="inlineStr">
        <x:is>
          <x:t xml:space="preserve">Exhaustivité documentation financement</x:t>
        </x:is>
      </x:c>
      <x:c r="L143" s="5" t="n">
        <x:v>0.4</x:v>
      </x:c>
      <x:c r="M143" s="4" t="inlineStr">
        <x:is>
          <x:t xml:space="preserve"/>
        </x:is>
      </x:c>
      <x:c r="N143" s="4" t="inlineStr">
        <x:is>
          <x:t xml:space="preserve"/>
        </x:is>
      </x:c>
      <x:c r="O143" s="6" t="n"/>
      <x:c r="P143" s="5">
        <x:f>C143*F143*I143*L143</x:f>
        <x:v>0.0045000000000000005</x:v>
      </x:c>
      <x:c r="Q143" s="7">
        <x:f>IF(O143="","",O143/10*P143)</x:f>
      </x:c>
    </x:row>
    <x:row r="144">
      <x:c r="A144" s="4" t="inlineStr">
        <x:is>
          <x:t xml:space="preserve">D8</x:t>
        </x:is>
      </x:c>
      <x:c r="B144" s="4" t="inlineStr">
        <x:is>
          <x:t xml:space="preserve">Legal &amp; Documentation</x:t>
        </x:is>
      </x:c>
      <x:c r="C144" s="5" t="n">
        <x:v>0.05</x:v>
      </x:c>
      <x:c r="D144" s="4" t="inlineStr">
        <x:is>
          <x:t xml:space="preserve">D8_C1</x:t>
        </x:is>
      </x:c>
      <x:c r="E144" s="4" t="inlineStr">
        <x:is>
          <x:t xml:space="preserve">Documentation Completeness</x:t>
        </x:is>
      </x:c>
      <x:c r="F144" s="5" t="n">
        <x:v>0.45</x:v>
      </x:c>
      <x:c r="G144" s="4" t="inlineStr">
        <x:is>
          <x:t xml:space="preserve">D8_SC1</x:t>
        </x:is>
      </x:c>
      <x:c r="H144" s="4" t="inlineStr">
        <x:is>
          <x:t xml:space="preserve">Core finance docs</x:t>
        </x:is>
      </x:c>
      <x:c r="I144" s="5" t="n">
        <x:v>0.5</x:v>
      </x:c>
      <x:c r="J144" s="4" t="inlineStr">
        <x:is>
          <x:t xml:space="preserve">D8_SS2</x:t>
        </x:is>
      </x:c>
      <x:c r="K144" s="4" t="inlineStr">
        <x:is>
          <x:t xml:space="preserve">Cohérence inter-documents</x:t>
        </x:is>
      </x:c>
      <x:c r="L144" s="5" t="n">
        <x:v>0.35</x:v>
      </x:c>
      <x:c r="M144" s="4" t="inlineStr">
        <x:is>
          <x:t xml:space="preserve"/>
        </x:is>
      </x:c>
      <x:c r="N144" s="4" t="inlineStr">
        <x:is>
          <x:t xml:space="preserve"/>
        </x:is>
      </x:c>
      <x:c r="O144" s="6" t="n"/>
      <x:c r="P144" s="5">
        <x:f>C144*F144*I144*L144</x:f>
        <x:v>0.0039375</x:v>
      </x:c>
      <x:c r="Q144" s="7">
        <x:f>IF(O144="","",O144/10*P144)</x:f>
      </x:c>
    </x:row>
    <x:row r="145">
      <x:c r="A145" s="4" t="inlineStr">
        <x:is>
          <x:t xml:space="preserve">D8</x:t>
        </x:is>
      </x:c>
      <x:c r="B145" s="4" t="inlineStr">
        <x:is>
          <x:t xml:space="preserve">Legal &amp; Documentation</x:t>
        </x:is>
      </x:c>
      <x:c r="C145" s="5" t="n">
        <x:v>0.05</x:v>
      </x:c>
      <x:c r="D145" s="4" t="inlineStr">
        <x:is>
          <x:t xml:space="preserve">D8_C1</x:t>
        </x:is>
      </x:c>
      <x:c r="E145" s="4" t="inlineStr">
        <x:is>
          <x:t xml:space="preserve">Documentation Completeness</x:t>
        </x:is>
      </x:c>
      <x:c r="F145" s="5" t="n">
        <x:v>0.45</x:v>
      </x:c>
      <x:c r="G145" s="4" t="inlineStr">
        <x:is>
          <x:t xml:space="preserve">D8_SC1</x:t>
        </x:is>
      </x:c>
      <x:c r="H145" s="4" t="inlineStr">
        <x:is>
          <x:t xml:space="preserve">Core finance docs</x:t>
        </x:is>
      </x:c>
      <x:c r="I145" s="5" t="n">
        <x:v>0.5</x:v>
      </x:c>
      <x:c r="J145" s="4" t="inlineStr">
        <x:is>
          <x:t xml:space="preserve">D8_SS3</x:t>
        </x:is>
      </x:c>
      <x:c r="K145" s="4" t="inlineStr">
        <x:is>
          <x:t xml:space="preserve">Conditions préalables / CPs</x:t>
        </x:is>
      </x:c>
      <x:c r="L145" s="5" t="n">
        <x:v>0.25</x:v>
      </x:c>
      <x:c r="M145" s="4" t="inlineStr">
        <x:is>
          <x:t xml:space="preserve"/>
        </x:is>
      </x:c>
      <x:c r="N145" s="4" t="inlineStr">
        <x:is>
          <x:t xml:space="preserve"/>
        </x:is>
      </x:c>
      <x:c r="O145" s="6" t="n"/>
      <x:c r="P145" s="5">
        <x:f>C145*F145*I145*L145</x:f>
        <x:v>0.0028125000000000003</x:v>
      </x:c>
      <x:c r="Q145" s="7">
        <x:f>IF(O145="","",O145/10*P145)</x:f>
      </x:c>
    </x:row>
    <x:row r="146">
      <x:c r="A146" s="4" t="inlineStr">
        <x:is>
          <x:t xml:space="preserve">D8</x:t>
        </x:is>
      </x:c>
      <x:c r="B146" s="4" t="inlineStr">
        <x:is>
          <x:t xml:space="preserve">Legal &amp; Documentation</x:t>
        </x:is>
      </x:c>
      <x:c r="C146" s="5" t="n">
        <x:v>0.05</x:v>
      </x:c>
      <x:c r="D146" s="4" t="inlineStr">
        <x:is>
          <x:t xml:space="preserve">D8_C1</x:t>
        </x:is>
      </x:c>
      <x:c r="E146" s="4" t="inlineStr">
        <x:is>
          <x:t xml:space="preserve">Documentation Completeness</x:t>
        </x:is>
      </x:c>
      <x:c r="F146" s="5" t="n">
        <x:v>0.45</x:v>
      </x:c>
      <x:c r="G146" s="4" t="inlineStr">
        <x:is>
          <x:t xml:space="preserve">D8_SC2</x:t>
        </x:is>
      </x:c>
      <x:c r="H146" s="4" t="inlineStr">
        <x:is>
          <x:t xml:space="preserve">Project agreements</x:t>
        </x:is>
      </x:c>
      <x:c r="I146" s="5" t="n">
        <x:v>0.5</x:v>
      </x:c>
      <x:c r="J146" s="4" t="inlineStr">
        <x:is>
          <x:t xml:space="preserve">D8_SS4</x:t>
        </x:is>
      </x:c>
      <x:c r="K146" s="4" t="inlineStr">
        <x:is>
          <x:t xml:space="preserve">Disponibilité contrats projet</x:t>
        </x:is>
      </x:c>
      <x:c r="L146" s="5" t="n">
        <x:v>0.35</x:v>
      </x:c>
      <x:c r="M146" s="4" t="inlineStr">
        <x:is>
          <x:t xml:space="preserve"/>
        </x:is>
      </x:c>
      <x:c r="N146" s="4" t="inlineStr">
        <x:is>
          <x:t xml:space="preserve"/>
        </x:is>
      </x:c>
      <x:c r="O146" s="6" t="n"/>
      <x:c r="P146" s="5">
        <x:f>C146*F146*I146*L146</x:f>
        <x:v>0.0039375</x:v>
      </x:c>
      <x:c r="Q146" s="7">
        <x:f>IF(O146="","",O146/10*P146)</x:f>
      </x:c>
    </x:row>
    <x:row r="147">
      <x:c r="A147" s="4" t="inlineStr">
        <x:is>
          <x:t xml:space="preserve">D8</x:t>
        </x:is>
      </x:c>
      <x:c r="B147" s="4" t="inlineStr">
        <x:is>
          <x:t xml:space="preserve">Legal &amp; Documentation</x:t>
        </x:is>
      </x:c>
      <x:c r="C147" s="5" t="n">
        <x:v>0.05</x:v>
      </x:c>
      <x:c r="D147" s="4" t="inlineStr">
        <x:is>
          <x:t xml:space="preserve">D8_C1</x:t>
        </x:is>
      </x:c>
      <x:c r="E147" s="4" t="inlineStr">
        <x:is>
          <x:t xml:space="preserve">Documentation Completeness</x:t>
        </x:is>
      </x:c>
      <x:c r="F147" s="5" t="n">
        <x:v>0.45</x:v>
      </x:c>
      <x:c r="G147" s="4" t="inlineStr">
        <x:is>
          <x:t xml:space="preserve">D8_SC2</x:t>
        </x:is>
      </x:c>
      <x:c r="H147" s="4" t="inlineStr">
        <x:is>
          <x:t xml:space="preserve">Project agreements</x:t>
        </x:is>
      </x:c>
      <x:c r="I147" s="5" t="n">
        <x:v>0.5</x:v>
      </x:c>
      <x:c r="J147" s="4" t="inlineStr">
        <x:is>
          <x:t xml:space="preserve">D8_SS5</x:t>
        </x:is>
      </x:c>
      <x:c r="K147" s="4" t="inlineStr">
        <x:is>
          <x:t xml:space="preserve">Absence de contradictions majeures</x:t>
        </x:is>
      </x:c>
      <x:c r="L147" s="5" t="n">
        <x:v>0.35</x:v>
      </x:c>
      <x:c r="M147" s="4" t="inlineStr">
        <x:is>
          <x:t xml:space="preserve"/>
        </x:is>
      </x:c>
      <x:c r="N147" s="4" t="inlineStr">
        <x:is>
          <x:t xml:space="preserve"/>
        </x:is>
      </x:c>
      <x:c r="O147" s="6" t="n"/>
      <x:c r="P147" s="5">
        <x:f>C147*F147*I147*L147</x:f>
        <x:v>0.0039375</x:v>
      </x:c>
      <x:c r="Q147" s="7">
        <x:f>IF(O147="","",O147/10*P147)</x:f>
      </x:c>
    </x:row>
    <x:row r="148">
      <x:c r="A148" s="4" t="inlineStr">
        <x:is>
          <x:t xml:space="preserve">D8</x:t>
        </x:is>
      </x:c>
      <x:c r="B148" s="4" t="inlineStr">
        <x:is>
          <x:t xml:space="preserve">Legal &amp; Documentation</x:t>
        </x:is>
      </x:c>
      <x:c r="C148" s="5" t="n">
        <x:v>0.05</x:v>
      </x:c>
      <x:c r="D148" s="4" t="inlineStr">
        <x:is>
          <x:t xml:space="preserve">D8_C1</x:t>
        </x:is>
      </x:c>
      <x:c r="E148" s="4" t="inlineStr">
        <x:is>
          <x:t xml:space="preserve">Documentation Completeness</x:t>
        </x:is>
      </x:c>
      <x:c r="F148" s="5" t="n">
        <x:v>0.45</x:v>
      </x:c>
      <x:c r="G148" s="4" t="inlineStr">
        <x:is>
          <x:t xml:space="preserve">D8_SC2</x:t>
        </x:is>
      </x:c>
      <x:c r="H148" s="4" t="inlineStr">
        <x:is>
          <x:t xml:space="preserve">Project agreements</x:t>
        </x:is>
      </x:c>
      <x:c r="I148" s="5" t="n">
        <x:v>0.5</x:v>
      </x:c>
      <x:c r="J148" s="4" t="inlineStr">
        <x:is>
          <x:t xml:space="preserve">D8_SS6</x:t>
        </x:is>
      </x:c>
      <x:c r="K148" s="4" t="inlineStr">
        <x:is>
          <x:t xml:space="preserve">Clarté des obligations</x:t>
        </x:is>
      </x:c>
      <x:c r="L148" s="5" t="n">
        <x:v>0.3</x:v>
      </x:c>
      <x:c r="M148" s="4" t="inlineStr">
        <x:is>
          <x:t xml:space="preserve"/>
        </x:is>
      </x:c>
      <x:c r="N148" s="4" t="inlineStr">
        <x:is>
          <x:t xml:space="preserve"/>
        </x:is>
      </x:c>
      <x:c r="O148" s="6" t="n"/>
      <x:c r="P148" s="5">
        <x:f>C148*F148*I148*L148</x:f>
        <x:v>0.0033750000000000004</x:v>
      </x:c>
      <x:c r="Q148" s="7">
        <x:f>IF(O148="","",O148/10*P148)</x:f>
      </x:c>
    </x:row>
    <x:row r="149">
      <x:c r="A149" s="4" t="inlineStr">
        <x:is>
          <x:t xml:space="preserve">D8</x:t>
        </x:is>
      </x:c>
      <x:c r="B149" s="4" t="inlineStr">
        <x:is>
          <x:t xml:space="preserve">Legal &amp; Documentation</x:t>
        </x:is>
      </x:c>
      <x:c r="C149" s="5" t="n">
        <x:v>0.05</x:v>
      </x:c>
      <x:c r="D149" s="4" t="inlineStr">
        <x:is>
          <x:t xml:space="preserve">D8_C2</x:t>
        </x:is>
      </x:c>
      <x:c r="E149" s="4" t="inlineStr">
        <x:is>
          <x:t xml:space="preserve">Legal Robustness</x:t>
        </x:is>
      </x:c>
      <x:c r="F149" s="5" t="n">
        <x:v>0.35</x:v>
      </x:c>
      <x:c r="G149" s="4" t="inlineStr">
        <x:is>
          <x:t xml:space="preserve">D8_SC3</x:t>
        </x:is>
      </x:c>
      <x:c r="H149" s="4" t="inlineStr">
        <x:is>
          <x:t xml:space="preserve">Enforceability</x:t>
        </x:is>
      </x:c>
      <x:c r="I149" s="5" t="n">
        <x:v>0.5</x:v>
      </x:c>
      <x:c r="J149" s="4" t="inlineStr">
        <x:is>
          <x:t xml:space="preserve">D8_SS7</x:t>
        </x:is>
      </x:c>
      <x:c r="K149" s="4" t="inlineStr">
        <x:is>
          <x:t xml:space="preserve">Validité/enforceability contrats</x:t>
        </x:is>
      </x:c>
      <x:c r="L149" s="5" t="n">
        <x:v>0.4</x:v>
      </x:c>
      <x:c r="M149" s="4" t="inlineStr">
        <x:is>
          <x:t xml:space="preserve"/>
        </x:is>
      </x:c>
      <x:c r="N149" s="4" t="inlineStr">
        <x:is>
          <x:t xml:space="preserve"/>
        </x:is>
      </x:c>
      <x:c r="O149" s="6" t="n"/>
      <x:c r="P149" s="5">
        <x:f>C149*F149*I149*L149</x:f>
        <x:v>0.0034999999999999996</x:v>
      </x:c>
      <x:c r="Q149" s="7">
        <x:f>IF(O149="","",O149/10*P149)</x:f>
      </x:c>
    </x:row>
    <x:row r="150">
      <x:c r="A150" s="4" t="inlineStr">
        <x:is>
          <x:t xml:space="preserve">D8</x:t>
        </x:is>
      </x:c>
      <x:c r="B150" s="4" t="inlineStr">
        <x:is>
          <x:t xml:space="preserve">Legal &amp; Documentation</x:t>
        </x:is>
      </x:c>
      <x:c r="C150" s="5" t="n">
        <x:v>0.05</x:v>
      </x:c>
      <x:c r="D150" s="4" t="inlineStr">
        <x:is>
          <x:t xml:space="preserve">D8_C2</x:t>
        </x:is>
      </x:c>
      <x:c r="E150" s="4" t="inlineStr">
        <x:is>
          <x:t xml:space="preserve">Legal Robustness</x:t>
        </x:is>
      </x:c>
      <x:c r="F150" s="5" t="n">
        <x:v>0.35</x:v>
      </x:c>
      <x:c r="G150" s="4" t="inlineStr">
        <x:is>
          <x:t xml:space="preserve">D8_SC3</x:t>
        </x:is>
      </x:c>
      <x:c r="H150" s="4" t="inlineStr">
        <x:is>
          <x:t xml:space="preserve">Enforceability</x:t>
        </x:is>
      </x:c>
      <x:c r="I150" s="5" t="n">
        <x:v>0.5</x:v>
      </x:c>
      <x:c r="J150" s="4" t="inlineStr">
        <x:is>
          <x:t xml:space="preserve">D8_SS8</x:t>
        </x:is>
      </x:c>
      <x:c r="K150" s="4" t="inlineStr">
        <x:is>
          <x:t xml:space="preserve">Sûretés opposables</x:t>
        </x:is>
      </x:c>
      <x:c r="L150" s="5" t="n">
        <x:v>0.35</x:v>
      </x:c>
      <x:c r="M150" s="4" t="inlineStr">
        <x:is>
          <x:t xml:space="preserve"/>
        </x:is>
      </x:c>
      <x:c r="N150" s="4" t="inlineStr">
        <x:is>
          <x:t xml:space="preserve"/>
        </x:is>
      </x:c>
      <x:c r="O150" s="6" t="n"/>
      <x:c r="P150" s="5">
        <x:f>C150*F150*I150*L150</x:f>
        <x:v>0.0030624999999999997</x:v>
      </x:c>
      <x:c r="Q150" s="7">
        <x:f>IF(O150="","",O150/10*P150)</x:f>
      </x:c>
    </x:row>
    <x:row r="151">
      <x:c r="A151" s="4" t="inlineStr">
        <x:is>
          <x:t xml:space="preserve">D8</x:t>
        </x:is>
      </x:c>
      <x:c r="B151" s="4" t="inlineStr">
        <x:is>
          <x:t xml:space="preserve">Legal &amp; Documentation</x:t>
        </x:is>
      </x:c>
      <x:c r="C151" s="5" t="n">
        <x:v>0.05</x:v>
      </x:c>
      <x:c r="D151" s="4" t="inlineStr">
        <x:is>
          <x:t xml:space="preserve">D8_C2</x:t>
        </x:is>
      </x:c>
      <x:c r="E151" s="4" t="inlineStr">
        <x:is>
          <x:t xml:space="preserve">Legal Robustness</x:t>
        </x:is>
      </x:c>
      <x:c r="F151" s="5" t="n">
        <x:v>0.35</x:v>
      </x:c>
      <x:c r="G151" s="4" t="inlineStr">
        <x:is>
          <x:t xml:space="preserve">D8_SC3</x:t>
        </x:is>
      </x:c>
      <x:c r="H151" s="4" t="inlineStr">
        <x:is>
          <x:t xml:space="preserve">Enforceability</x:t>
        </x:is>
      </x:c>
      <x:c r="I151" s="5" t="n">
        <x:v>0.5</x:v>
      </x:c>
      <x:c r="J151" s="4" t="inlineStr">
        <x:is>
          <x:t xml:space="preserve">D8_SS9</x:t>
        </x:is>
      </x:c>
      <x:c r="K151" s="4" t="inlineStr">
        <x:is>
          <x:t xml:space="preserve">Juridiction / arbitrage</x:t>
        </x:is>
      </x:c>
      <x:c r="L151" s="5" t="n">
        <x:v>0.25</x:v>
      </x:c>
      <x:c r="M151" s="4" t="inlineStr">
        <x:is>
          <x:t xml:space="preserve"/>
        </x:is>
      </x:c>
      <x:c r="N151" s="4" t="inlineStr">
        <x:is>
          <x:t xml:space="preserve"/>
        </x:is>
      </x:c>
      <x:c r="O151" s="6" t="n"/>
      <x:c r="P151" s="5">
        <x:f>C151*F151*I151*L151</x:f>
        <x:v>0.0021874999999999998</x:v>
      </x:c>
      <x:c r="Q151" s="7">
        <x:f>IF(O151="","",O151/10*P151)</x:f>
      </x:c>
    </x:row>
    <x:row r="152">
      <x:c r="A152" s="4" t="inlineStr">
        <x:is>
          <x:t xml:space="preserve">D8</x:t>
        </x:is>
      </x:c>
      <x:c r="B152" s="4" t="inlineStr">
        <x:is>
          <x:t xml:space="preserve">Legal &amp; Documentation</x:t>
        </x:is>
      </x:c>
      <x:c r="C152" s="5" t="n">
        <x:v>0.05</x:v>
      </x:c>
      <x:c r="D152" s="4" t="inlineStr">
        <x:is>
          <x:t xml:space="preserve">D8_C2</x:t>
        </x:is>
      </x:c>
      <x:c r="E152" s="4" t="inlineStr">
        <x:is>
          <x:t xml:space="preserve">Legal Robustness</x:t>
        </x:is>
      </x:c>
      <x:c r="F152" s="5" t="n">
        <x:v>0.35</x:v>
      </x:c>
      <x:c r="G152" s="4" t="inlineStr">
        <x:is>
          <x:t xml:space="preserve">D8_SC4</x:t>
        </x:is>
      </x:c>
      <x:c r="H152" s="4" t="inlineStr">
        <x:is>
          <x:t xml:space="preserve">Legal due diligence</x:t>
        </x:is>
      </x:c>
      <x:c r="I152" s="5" t="n">
        <x:v>0.5</x:v>
      </x:c>
      <x:c r="J152" s="4" t="inlineStr">
        <x:is>
          <x:t xml:space="preserve">D8_SS10</x:t>
        </x:is>
      </x:c>
      <x:c r="K152" s="4" t="inlineStr">
        <x:is>
          <x:t xml:space="preserve">Qualité revue juridique</x:t>
        </x:is>
      </x:c>
      <x:c r="L152" s="5" t="n">
        <x:v>0.4</x:v>
      </x:c>
      <x:c r="M152" s="4" t="inlineStr">
        <x:is>
          <x:t xml:space="preserve"/>
        </x:is>
      </x:c>
      <x:c r="N152" s="4" t="inlineStr">
        <x:is>
          <x:t xml:space="preserve"/>
        </x:is>
      </x:c>
      <x:c r="O152" s="6" t="n"/>
      <x:c r="P152" s="5">
        <x:f>C152*F152*I152*L152</x:f>
        <x:v>0.0034999999999999996</x:v>
      </x:c>
      <x:c r="Q152" s="7">
        <x:f>IF(O152="","",O152/10*P152)</x:f>
      </x:c>
    </x:row>
    <x:row r="153">
      <x:c r="A153" s="4" t="inlineStr">
        <x:is>
          <x:t xml:space="preserve">D8</x:t>
        </x:is>
      </x:c>
      <x:c r="B153" s="4" t="inlineStr">
        <x:is>
          <x:t xml:space="preserve">Legal &amp; Documentation</x:t>
        </x:is>
      </x:c>
      <x:c r="C153" s="5" t="n">
        <x:v>0.05</x:v>
      </x:c>
      <x:c r="D153" s="4" t="inlineStr">
        <x:is>
          <x:t xml:space="preserve">D8_C2</x:t>
        </x:is>
      </x:c>
      <x:c r="E153" s="4" t="inlineStr">
        <x:is>
          <x:t xml:space="preserve">Legal Robustness</x:t>
        </x:is>
      </x:c>
      <x:c r="F153" s="5" t="n">
        <x:v>0.35</x:v>
      </x:c>
      <x:c r="G153" s="4" t="inlineStr">
        <x:is>
          <x:t xml:space="preserve">D8_SC4</x:t>
        </x:is>
      </x:c>
      <x:c r="H153" s="4" t="inlineStr">
        <x:is>
          <x:t xml:space="preserve">Legal due diligence</x:t>
        </x:is>
      </x:c>
      <x:c r="I153" s="5" t="n">
        <x:v>0.5</x:v>
      </x:c>
      <x:c r="J153" s="4" t="inlineStr">
        <x:is>
          <x:t xml:space="preserve">D8_SS11</x:t>
        </x:is>
      </x:c>
      <x:c r="K153" s="4" t="inlineStr">
        <x:is>
          <x:t xml:space="preserve">Réserves majeures identifiées</x:t>
        </x:is>
      </x:c>
      <x:c r="L153" s="5" t="n">
        <x:v>0.35</x:v>
      </x:c>
      <x:c r="M153" s="4" t="inlineStr">
        <x:is>
          <x:t xml:space="preserve"/>
        </x:is>
      </x:c>
      <x:c r="N153" s="4" t="inlineStr">
        <x:is>
          <x:t xml:space="preserve"/>
        </x:is>
      </x:c>
      <x:c r="O153" s="6" t="n"/>
      <x:c r="P153" s="5">
        <x:f>C153*F153*I153*L153</x:f>
        <x:v>0.0030624999999999997</x:v>
      </x:c>
      <x:c r="Q153" s="7">
        <x:f>IF(O153="","",O153/10*P153)</x:f>
      </x:c>
    </x:row>
    <x:row r="154">
      <x:c r="A154" s="4" t="inlineStr">
        <x:is>
          <x:t xml:space="preserve">D8</x:t>
        </x:is>
      </x:c>
      <x:c r="B154" s="4" t="inlineStr">
        <x:is>
          <x:t xml:space="preserve">Legal &amp; Documentation</x:t>
        </x:is>
      </x:c>
      <x:c r="C154" s="5" t="n">
        <x:v>0.05</x:v>
      </x:c>
      <x:c r="D154" s="4" t="inlineStr">
        <x:is>
          <x:t xml:space="preserve">D8_C2</x:t>
        </x:is>
      </x:c>
      <x:c r="E154" s="4" t="inlineStr">
        <x:is>
          <x:t xml:space="preserve">Legal Robustness</x:t>
        </x:is>
      </x:c>
      <x:c r="F154" s="5" t="n">
        <x:v>0.35</x:v>
      </x:c>
      <x:c r="G154" s="4" t="inlineStr">
        <x:is>
          <x:t xml:space="preserve">D8_SC4</x:t>
        </x:is>
      </x:c>
      <x:c r="H154" s="4" t="inlineStr">
        <x:is>
          <x:t xml:space="preserve">Legal due diligence</x:t>
        </x:is>
      </x:c>
      <x:c r="I154" s="5" t="n">
        <x:v>0.5</x:v>
      </x:c>
      <x:c r="J154" s="4" t="inlineStr">
        <x:is>
          <x:t xml:space="preserve">D8_SS12</x:t>
        </x:is>
      </x:c>
      <x:c r="K154" s="4" t="inlineStr">
        <x:is>
          <x:t xml:space="preserve">Plan de remédiation</x:t>
        </x:is>
      </x:c>
      <x:c r="L154" s="5" t="n">
        <x:v>0.25</x:v>
      </x:c>
      <x:c r="M154" s="4" t="inlineStr">
        <x:is>
          <x:t xml:space="preserve"/>
        </x:is>
      </x:c>
      <x:c r="N154" s="4" t="inlineStr">
        <x:is>
          <x:t xml:space="preserve"/>
        </x:is>
      </x:c>
      <x:c r="O154" s="6" t="n"/>
      <x:c r="P154" s="5">
        <x:f>C154*F154*I154*L154</x:f>
        <x:v>0.0021874999999999998</x:v>
      </x:c>
      <x:c r="Q154" s="7">
        <x:f>IF(O154="","",O154/10*P154)</x:f>
      </x:c>
    </x:row>
    <x:row r="155">
      <x:c r="A155" s="4" t="inlineStr">
        <x:is>
          <x:t xml:space="preserve">D8</x:t>
        </x:is>
      </x:c>
      <x:c r="B155" s="4" t="inlineStr">
        <x:is>
          <x:t xml:space="preserve">Legal &amp; Documentation</x:t>
        </x:is>
      </x:c>
      <x:c r="C155" s="5" t="n">
        <x:v>0.05</x:v>
      </x:c>
      <x:c r="D155" s="4" t="inlineStr">
        <x:is>
          <x:t xml:space="preserve">D8_C3</x:t>
        </x:is>
      </x:c>
      <x:c r="E155" s="4" t="inlineStr">
        <x:is>
          <x:t xml:space="preserve">Regulatory Compliance</x:t>
        </x:is>
      </x:c>
      <x:c r="F155" s="5" t="n">
        <x:v>0.2</x:v>
      </x:c>
      <x:c r="G155" s="4" t="inlineStr">
        <x:is>
          <x:t xml:space="preserve">D8_SC5</x:t>
        </x:is>
      </x:c>
      <x:c r="H155" s="4" t="inlineStr">
        <x:is>
          <x:t xml:space="preserve">Compliance status</x:t>
        </x:is>
      </x:c>
      <x:c r="I155" s="5" t="n">
        <x:v>1</x:v>
      </x:c>
      <x:c r="J155" s="4" t="inlineStr">
        <x:is>
          <x:t xml:space="preserve">D8_SS13</x:t>
        </x:is>
      </x:c>
      <x:c r="K155" s="4" t="inlineStr">
        <x:is>
          <x:t xml:space="preserve">Conformité réglementaire</x:t>
        </x:is>
      </x:c>
      <x:c r="L155" s="5" t="n">
        <x:v>0.4</x:v>
      </x:c>
      <x:c r="M155" s="4" t="inlineStr">
        <x:is>
          <x:t xml:space="preserve"/>
        </x:is>
      </x:c>
      <x:c r="N155" s="4" t="inlineStr">
        <x:is>
          <x:t xml:space="preserve"/>
        </x:is>
      </x:c>
      <x:c r="O155" s="6" t="n"/>
      <x:c r="P155" s="5">
        <x:f>C155*F155*I155*L155</x:f>
        <x:v>0.004000000000000001</x:v>
      </x:c>
      <x:c r="Q155" s="7">
        <x:f>IF(O155="","",O155/10*P155)</x:f>
      </x:c>
    </x:row>
    <x:row r="156">
      <x:c r="A156" s="4" t="inlineStr">
        <x:is>
          <x:t xml:space="preserve">D8</x:t>
        </x:is>
      </x:c>
      <x:c r="B156" s="4" t="inlineStr">
        <x:is>
          <x:t xml:space="preserve">Legal &amp; Documentation</x:t>
        </x:is>
      </x:c>
      <x:c r="C156" s="5" t="n">
        <x:v>0.05</x:v>
      </x:c>
      <x:c r="D156" s="4" t="inlineStr">
        <x:is>
          <x:t xml:space="preserve">D8_C3</x:t>
        </x:is>
      </x:c>
      <x:c r="E156" s="4" t="inlineStr">
        <x:is>
          <x:t xml:space="preserve">Regulatory Compliance</x:t>
        </x:is>
      </x:c>
      <x:c r="F156" s="5" t="n">
        <x:v>0.2</x:v>
      </x:c>
      <x:c r="G156" s="4" t="inlineStr">
        <x:is>
          <x:t xml:space="preserve">D8_SC5</x:t>
        </x:is>
      </x:c>
      <x:c r="H156" s="4" t="inlineStr">
        <x:is>
          <x:t xml:space="preserve">Compliance status</x:t>
        </x:is>
      </x:c>
      <x:c r="I156" s="5" t="n">
        <x:v>1</x:v>
      </x:c>
      <x:c r="J156" s="4" t="inlineStr">
        <x:is>
          <x:t xml:space="preserve">D8_SS14</x:t>
        </x:is>
      </x:c>
      <x:c r="K156" s="4" t="inlineStr">
        <x:is>
          <x:t xml:space="preserve">Risque sanctions / contentieux</x:t>
        </x:is>
      </x:c>
      <x:c r="L156" s="5" t="n">
        <x:v>0.35</x:v>
      </x:c>
      <x:c r="M156" s="4" t="inlineStr">
        <x:is>
          <x:t xml:space="preserve"/>
        </x:is>
      </x:c>
      <x:c r="N156" s="4" t="inlineStr">
        <x:is>
          <x:t xml:space="preserve"/>
        </x:is>
      </x:c>
      <x:c r="O156" s="6" t="n"/>
      <x:c r="P156" s="5">
        <x:f>C156*F156*I156*L156</x:f>
        <x:v>0.0035000000000000005</x:v>
      </x:c>
      <x:c r="Q156" s="7">
        <x:f>IF(O156="","",O156/10*P156)</x:f>
      </x:c>
    </x:row>
    <x:row r="157">
      <x:c r="A157" s="4" t="inlineStr">
        <x:is>
          <x:t xml:space="preserve">D8</x:t>
        </x:is>
      </x:c>
      <x:c r="B157" s="4" t="inlineStr">
        <x:is>
          <x:t xml:space="preserve">Legal &amp; Documentation</x:t>
        </x:is>
      </x:c>
      <x:c r="C157" s="5" t="n">
        <x:v>0.05</x:v>
      </x:c>
      <x:c r="D157" s="4" t="inlineStr">
        <x:is>
          <x:t xml:space="preserve">D8_C3</x:t>
        </x:is>
      </x:c>
      <x:c r="E157" s="4" t="inlineStr">
        <x:is>
          <x:t xml:space="preserve">Regulatory Compliance</x:t>
        </x:is>
      </x:c>
      <x:c r="F157" s="5" t="n">
        <x:v>0.2</x:v>
      </x:c>
      <x:c r="G157" s="4" t="inlineStr">
        <x:is>
          <x:t xml:space="preserve">D8_SC5</x:t>
        </x:is>
      </x:c>
      <x:c r="H157" s="4" t="inlineStr">
        <x:is>
          <x:t xml:space="preserve">Compliance status</x:t>
        </x:is>
      </x:c>
      <x:c r="I157" s="5" t="n">
        <x:v>1</x:v>
      </x:c>
      <x:c r="J157" s="4" t="inlineStr">
        <x:is>
          <x:t xml:space="preserve">D8_SS15</x:t>
        </x:is>
      </x:c>
      <x:c r="K157" s="4" t="inlineStr">
        <x:is>
          <x:t xml:space="preserve">KYC/AML/beneficial ownership</x:t>
        </x:is>
      </x:c>
      <x:c r="L157" s="5" t="n">
        <x:v>0.25</x:v>
      </x:c>
      <x:c r="M157" s="4" t="inlineStr">
        <x:is>
          <x:t xml:space="preserve"/>
        </x:is>
      </x:c>
      <x:c r="N157" s="4" t="inlineStr">
        <x:is>
          <x:t xml:space="preserve"/>
        </x:is>
      </x:c>
      <x:c r="O157" s="6" t="n"/>
      <x:c r="P157" s="5">
        <x:f>C157*F157*I157*L157</x:f>
        <x:v>0.0025000000000000005</x:v>
      </x:c>
      <x:c r="Q157" s="7">
        <x:f>IF(O157="","",O157/10*P157)</x:f>
      </x:c>
    </x:row>
    <x:row r="158">
      <x:c r="A158" s="4" t="inlineStr">
        <x:is>
          <x:t xml:space="preserve">D9</x:t>
        </x:is>
      </x:c>
      <x:c r="B158" s="4" t="inlineStr">
        <x:is>
          <x:t xml:space="preserve">ESG &amp; Climate Risk</x:t>
        </x:is>
      </x:c>
      <x:c r="C158" s="5" t="n">
        <x:v>0.05</x:v>
      </x:c>
      <x:c r="D158" s="4" t="inlineStr">
        <x:is>
          <x:t xml:space="preserve">D9_C1</x:t>
        </x:is>
      </x:c>
      <x:c r="E158" s="4" t="inlineStr">
        <x:is>
          <x:t xml:space="preserve">Environmental &amp; Climate Exposure</x:t>
        </x:is>
      </x:c>
      <x:c r="F158" s="5" t="n">
        <x:v>0.4</x:v>
      </x:c>
      <x:c r="G158" s="4" t="inlineStr">
        <x:is>
          <x:t xml:space="preserve">D9_SC1</x:t>
        </x:is>
      </x:c>
      <x:c r="H158" s="4" t="inlineStr">
        <x:is>
          <x:t xml:space="preserve">Environmental impact</x:t>
        </x:is>
      </x:c>
      <x:c r="I158" s="5" t="n">
        <x:v>0.4</x:v>
      </x:c>
      <x:c r="J158" s="4" t="inlineStr">
        <x:is>
          <x:t xml:space="preserve">D9_SS1</x:t>
        </x:is>
      </x:c>
      <x:c r="K158" s="4" t="inlineStr">
        <x:is>
          <x:t xml:space="preserve">Impacts environnementaux directs</x:t>
        </x:is>
      </x:c>
      <x:c r="L158" s="5" t="n">
        <x:v>0.4</x:v>
      </x:c>
      <x:c r="M158" s="4" t="inlineStr">
        <x:is>
          <x:t xml:space="preserve"/>
        </x:is>
      </x:c>
      <x:c r="N158" s="4" t="inlineStr">
        <x:is>
          <x:t xml:space="preserve"/>
        </x:is>
      </x:c>
      <x:c r="O158" s="6" t="n"/>
      <x:c r="P158" s="5">
        <x:f>C158*F158*I158*L158</x:f>
        <x:v>0.003200000000000001</x:v>
      </x:c>
      <x:c r="Q158" s="7">
        <x:f>IF(O158="","",O158/10*P158)</x:f>
      </x:c>
    </x:row>
    <x:row r="159">
      <x:c r="A159" s="4" t="inlineStr">
        <x:is>
          <x:t xml:space="preserve">D9</x:t>
        </x:is>
      </x:c>
      <x:c r="B159" s="4" t="inlineStr">
        <x:is>
          <x:t xml:space="preserve">ESG &amp; Climate Risk</x:t>
        </x:is>
      </x:c>
      <x:c r="C159" s="5" t="n">
        <x:v>0.05</x:v>
      </x:c>
      <x:c r="D159" s="4" t="inlineStr">
        <x:is>
          <x:t xml:space="preserve">D9_C1</x:t>
        </x:is>
      </x:c>
      <x:c r="E159" s="4" t="inlineStr">
        <x:is>
          <x:t xml:space="preserve">Environmental &amp; Climate Exposure</x:t>
        </x:is>
      </x:c>
      <x:c r="F159" s="5" t="n">
        <x:v>0.4</x:v>
      </x:c>
      <x:c r="G159" s="4" t="inlineStr">
        <x:is>
          <x:t xml:space="preserve">D9_SC1</x:t>
        </x:is>
      </x:c>
      <x:c r="H159" s="4" t="inlineStr">
        <x:is>
          <x:t xml:space="preserve">Environmental impact</x:t>
        </x:is>
      </x:c>
      <x:c r="I159" s="5" t="n">
        <x:v>0.4</x:v>
      </x:c>
      <x:c r="J159" s="4" t="inlineStr">
        <x:is>
          <x:t xml:space="preserve">D9_SS2</x:t>
        </x:is>
      </x:c>
      <x:c r="K159" s="4" t="inlineStr">
        <x:is>
          <x:t xml:space="preserve">Mesures de mitigation</x:t>
        </x:is>
      </x:c>
      <x:c r="L159" s="5" t="n">
        <x:v>0.35</x:v>
      </x:c>
      <x:c r="M159" s="4" t="inlineStr">
        <x:is>
          <x:t xml:space="preserve"/>
        </x:is>
      </x:c>
      <x:c r="N159" s="4" t="inlineStr">
        <x:is>
          <x:t xml:space="preserve"/>
        </x:is>
      </x:c>
      <x:c r="O159" s="6" t="n"/>
      <x:c r="P159" s="5">
        <x:f>C159*F159*I159*L159</x:f>
        <x:v>0.0028000000000000004</x:v>
      </x:c>
      <x:c r="Q159" s="7">
        <x:f>IF(O159="","",O159/10*P159)</x:f>
      </x:c>
    </x:row>
    <x:row r="160">
      <x:c r="A160" s="4" t="inlineStr">
        <x:is>
          <x:t xml:space="preserve">D9</x:t>
        </x:is>
      </x:c>
      <x:c r="B160" s="4" t="inlineStr">
        <x:is>
          <x:t xml:space="preserve">ESG &amp; Climate Risk</x:t>
        </x:is>
      </x:c>
      <x:c r="C160" s="5" t="n">
        <x:v>0.05</x:v>
      </x:c>
      <x:c r="D160" s="4" t="inlineStr">
        <x:is>
          <x:t xml:space="preserve">D9_C1</x:t>
        </x:is>
      </x:c>
      <x:c r="E160" s="4" t="inlineStr">
        <x:is>
          <x:t xml:space="preserve">Environmental &amp; Climate Exposure</x:t>
        </x:is>
      </x:c>
      <x:c r="F160" s="5" t="n">
        <x:v>0.4</x:v>
      </x:c>
      <x:c r="G160" s="4" t="inlineStr">
        <x:is>
          <x:t xml:space="preserve">D9_SC1</x:t>
        </x:is>
      </x:c>
      <x:c r="H160" s="4" t="inlineStr">
        <x:is>
          <x:t xml:space="preserve">Environmental impact</x:t>
        </x:is>
      </x:c>
      <x:c r="I160" s="5" t="n">
        <x:v>0.4</x:v>
      </x:c>
      <x:c r="J160" s="4" t="inlineStr">
        <x:is>
          <x:t xml:space="preserve">D9_SS3</x:t>
        </x:is>
      </x:c>
      <x:c r="K160" s="4" t="inlineStr">
        <x:is>
          <x:t xml:space="preserve">Sensibilité biodiversité / eau / pollution</x:t>
        </x:is>
      </x:c>
      <x:c r="L160" s="5" t="n">
        <x:v>0.25</x:v>
      </x:c>
      <x:c r="M160" s="4" t="inlineStr">
        <x:is>
          <x:t xml:space="preserve"/>
        </x:is>
      </x:c>
      <x:c r="N160" s="4" t="inlineStr">
        <x:is>
          <x:t xml:space="preserve"/>
        </x:is>
      </x:c>
      <x:c r="O160" s="6" t="n"/>
      <x:c r="P160" s="5">
        <x:f>C160*F160*I160*L160</x:f>
        <x:v>0.0020000000000000005</x:v>
      </x:c>
      <x:c r="Q160" s="7">
        <x:f>IF(O160="","",O160/10*P160)</x:f>
      </x:c>
    </x:row>
    <x:row r="161">
      <x:c r="A161" s="4" t="inlineStr">
        <x:is>
          <x:t xml:space="preserve">D9</x:t>
        </x:is>
      </x:c>
      <x:c r="B161" s="4" t="inlineStr">
        <x:is>
          <x:t xml:space="preserve">ESG &amp; Climate Risk</x:t>
        </x:is>
      </x:c>
      <x:c r="C161" s="5" t="n">
        <x:v>0.05</x:v>
      </x:c>
      <x:c r="D161" s="4" t="inlineStr">
        <x:is>
          <x:t xml:space="preserve">D9_C1</x:t>
        </x:is>
      </x:c>
      <x:c r="E161" s="4" t="inlineStr">
        <x:is>
          <x:t xml:space="preserve">Environmental &amp; Climate Exposure</x:t>
        </x:is>
      </x:c>
      <x:c r="F161" s="5" t="n">
        <x:v>0.4</x:v>
      </x:c>
      <x:c r="G161" s="4" t="inlineStr">
        <x:is>
          <x:t xml:space="preserve">D9_SC2</x:t>
        </x:is>
      </x:c>
      <x:c r="H161" s="4" t="inlineStr">
        <x:is>
          <x:t xml:space="preserve">Physical climate risk</x:t>
        </x:is>
      </x:c>
      <x:c r="I161" s="5" t="n">
        <x:v>0.35</x:v>
      </x:c>
      <x:c r="J161" s="4" t="inlineStr">
        <x:is>
          <x:t xml:space="preserve">D9_SS4</x:t>
        </x:is>
      </x:c>
      <x:c r="K161" s="4" t="inlineStr">
        <x:is>
          <x:t xml:space="preserve">Exposition risques physiques</x:t>
        </x:is>
      </x:c>
      <x:c r="L161" s="5" t="n">
        <x:v>0.4</x:v>
      </x:c>
      <x:c r="M161" s="4" t="inlineStr">
        <x:is>
          <x:t xml:space="preserve"/>
        </x:is>
      </x:c>
      <x:c r="N161" s="4" t="inlineStr">
        <x:is>
          <x:t xml:space="preserve"/>
        </x:is>
      </x:c>
      <x:c r="O161" s="6" t="n"/>
      <x:c r="P161" s="5">
        <x:f>C161*F161*I161*L161</x:f>
        <x:v>0.0028000000000000004</x:v>
      </x:c>
      <x:c r="Q161" s="7">
        <x:f>IF(O161="","",O161/10*P161)</x:f>
      </x:c>
    </x:row>
    <x:row r="162">
      <x:c r="A162" s="4" t="inlineStr">
        <x:is>
          <x:t xml:space="preserve">D9</x:t>
        </x:is>
      </x:c>
      <x:c r="B162" s="4" t="inlineStr">
        <x:is>
          <x:t xml:space="preserve">ESG &amp; Climate Risk</x:t>
        </x:is>
      </x:c>
      <x:c r="C162" s="5" t="n">
        <x:v>0.05</x:v>
      </x:c>
      <x:c r="D162" s="4" t="inlineStr">
        <x:is>
          <x:t xml:space="preserve">D9_C1</x:t>
        </x:is>
      </x:c>
      <x:c r="E162" s="4" t="inlineStr">
        <x:is>
          <x:t xml:space="preserve">Environmental &amp; Climate Exposure</x:t>
        </x:is>
      </x:c>
      <x:c r="F162" s="5" t="n">
        <x:v>0.4</x:v>
      </x:c>
      <x:c r="G162" s="4" t="inlineStr">
        <x:is>
          <x:t xml:space="preserve">D9_SC2</x:t>
        </x:is>
      </x:c>
      <x:c r="H162" s="4" t="inlineStr">
        <x:is>
          <x:t xml:space="preserve">Physical climate risk</x:t>
        </x:is>
      </x:c>
      <x:c r="I162" s="5" t="n">
        <x:v>0.35</x:v>
      </x:c>
      <x:c r="J162" s="4" t="inlineStr">
        <x:is>
          <x:t xml:space="preserve">D9_SS5</x:t>
        </x:is>
      </x:c>
      <x:c r="K162" s="4" t="inlineStr">
        <x:is>
          <x:t xml:space="preserve">Résilience du design</x:t>
        </x:is>
      </x:c>
      <x:c r="L162" s="5" t="n">
        <x:v>0.35</x:v>
      </x:c>
      <x:c r="M162" s="4" t="inlineStr">
        <x:is>
          <x:t xml:space="preserve"/>
        </x:is>
      </x:c>
      <x:c r="N162" s="4" t="inlineStr">
        <x:is>
          <x:t xml:space="preserve"/>
        </x:is>
      </x:c>
      <x:c r="O162" s="6" t="n"/>
      <x:c r="P162" s="5">
        <x:f>C162*F162*I162*L162</x:f>
        <x:v>0.0024500000000000004</x:v>
      </x:c>
      <x:c r="Q162" s="7">
        <x:f>IF(O162="","",O162/10*P162)</x:f>
      </x:c>
    </x:row>
    <x:row r="163">
      <x:c r="A163" s="4" t="inlineStr">
        <x:is>
          <x:t xml:space="preserve">D9</x:t>
        </x:is>
      </x:c>
      <x:c r="B163" s="4" t="inlineStr">
        <x:is>
          <x:t xml:space="preserve">ESG &amp; Climate Risk</x:t>
        </x:is>
      </x:c>
      <x:c r="C163" s="5" t="n">
        <x:v>0.05</x:v>
      </x:c>
      <x:c r="D163" s="4" t="inlineStr">
        <x:is>
          <x:t xml:space="preserve">D9_C1</x:t>
        </x:is>
      </x:c>
      <x:c r="E163" s="4" t="inlineStr">
        <x:is>
          <x:t xml:space="preserve">Environmental &amp; Climate Exposure</x:t>
        </x:is>
      </x:c>
      <x:c r="F163" s="5" t="n">
        <x:v>0.4</x:v>
      </x:c>
      <x:c r="G163" s="4" t="inlineStr">
        <x:is>
          <x:t xml:space="preserve">D9_SC2</x:t>
        </x:is>
      </x:c>
      <x:c r="H163" s="4" t="inlineStr">
        <x:is>
          <x:t xml:space="preserve">Physical climate risk</x:t>
        </x:is>
      </x:c>
      <x:c r="I163" s="5" t="n">
        <x:v>0.35</x:v>
      </x:c>
      <x:c r="J163" s="4" t="inlineStr">
        <x:is>
          <x:t xml:space="preserve">D9_SS6</x:t>
        </x:is>
      </x:c>
      <x:c r="K163" s="4" t="inlineStr">
        <x:is>
          <x:t xml:space="preserve">Couverture assurantielle climat</x:t>
        </x:is>
      </x:c>
      <x:c r="L163" s="5" t="n">
        <x:v>0.25</x:v>
      </x:c>
      <x:c r="M163" s="4" t="inlineStr">
        <x:is>
          <x:t xml:space="preserve"/>
        </x:is>
      </x:c>
      <x:c r="N163" s="4" t="inlineStr">
        <x:is>
          <x:t xml:space="preserve"/>
        </x:is>
      </x:c>
      <x:c r="O163" s="6" t="n"/>
      <x:c r="P163" s="5">
        <x:f>C163*F163*I163*L163</x:f>
        <x:v>0.0017500000000000003</x:v>
      </x:c>
      <x:c r="Q163" s="7">
        <x:f>IF(O163="","",O163/10*P163)</x:f>
      </x:c>
    </x:row>
    <x:row r="164">
      <x:c r="A164" s="4" t="inlineStr">
        <x:is>
          <x:t xml:space="preserve">D9</x:t>
        </x:is>
      </x:c>
      <x:c r="B164" s="4" t="inlineStr">
        <x:is>
          <x:t xml:space="preserve">ESG &amp; Climate Risk</x:t>
        </x:is>
      </x:c>
      <x:c r="C164" s="5" t="n">
        <x:v>0.05</x:v>
      </x:c>
      <x:c r="D164" s="4" t="inlineStr">
        <x:is>
          <x:t xml:space="preserve">D9_C1</x:t>
        </x:is>
      </x:c>
      <x:c r="E164" s="4" t="inlineStr">
        <x:is>
          <x:t xml:space="preserve">Environmental &amp; Climate Exposure</x:t>
        </x:is>
      </x:c>
      <x:c r="F164" s="5" t="n">
        <x:v>0.4</x:v>
      </x:c>
      <x:c r="G164" s="4" t="inlineStr">
        <x:is>
          <x:t xml:space="preserve">D9_SC3</x:t>
        </x:is>
      </x:c>
      <x:c r="H164" s="4" t="inlineStr">
        <x:is>
          <x:t xml:space="preserve">Transition risk</x:t>
        </x:is>
      </x:c>
      <x:c r="I164" s="5" t="n">
        <x:v>0.25</x:v>
      </x:c>
      <x:c r="J164" s="4" t="inlineStr">
        <x:is>
          <x:t xml:space="preserve">D9_SS7</x:t>
        </x:is>
      </x:c>
      <x:c r="K164" s="4" t="inlineStr">
        <x:is>
          <x:t xml:space="preserve">Exposition risque de transition</x:t>
        </x:is>
      </x:c>
      <x:c r="L164" s="5" t="n">
        <x:v>0.4</x:v>
      </x:c>
      <x:c r="M164" s="4" t="inlineStr">
        <x:is>
          <x:t xml:space="preserve"/>
        </x:is>
      </x:c>
      <x:c r="N164" s="4" t="inlineStr">
        <x:is>
          <x:t xml:space="preserve"/>
        </x:is>
      </x:c>
      <x:c r="O164" s="6" t="n"/>
      <x:c r="P164" s="5">
        <x:f>C164*F164*I164*L164</x:f>
        <x:v>0.0020000000000000005</x:v>
      </x:c>
      <x:c r="Q164" s="7">
        <x:f>IF(O164="","",O164/10*P164)</x:f>
      </x:c>
    </x:row>
    <x:row r="165">
      <x:c r="A165" s="4" t="inlineStr">
        <x:is>
          <x:t xml:space="preserve">D9</x:t>
        </x:is>
      </x:c>
      <x:c r="B165" s="4" t="inlineStr">
        <x:is>
          <x:t xml:space="preserve">ESG &amp; Climate Risk</x:t>
        </x:is>
      </x:c>
      <x:c r="C165" s="5" t="n">
        <x:v>0.05</x:v>
      </x:c>
      <x:c r="D165" s="4" t="inlineStr">
        <x:is>
          <x:t xml:space="preserve">D9_C1</x:t>
        </x:is>
      </x:c>
      <x:c r="E165" s="4" t="inlineStr">
        <x:is>
          <x:t xml:space="preserve">Environmental &amp; Climate Exposure</x:t>
        </x:is>
      </x:c>
      <x:c r="F165" s="5" t="n">
        <x:v>0.4</x:v>
      </x:c>
      <x:c r="G165" s="4" t="inlineStr">
        <x:is>
          <x:t xml:space="preserve">D9_SC3</x:t>
        </x:is>
      </x:c>
      <x:c r="H165" s="4" t="inlineStr">
        <x:is>
          <x:t xml:space="preserve">Transition risk</x:t>
        </x:is>
      </x:c>
      <x:c r="I165" s="5" t="n">
        <x:v>0.25</x:v>
      </x:c>
      <x:c r="J165" s="4" t="inlineStr">
        <x:is>
          <x:t xml:space="preserve">D9_SS8</x:t>
        </x:is>
      </x:c>
      <x:c r="K165" s="4" t="inlineStr">
        <x:is>
          <x:t xml:space="preserve">Sensibilité carbone / taxonomie</x:t>
        </x:is>
      </x:c>
      <x:c r="L165" s="5" t="n">
        <x:v>0.35</x:v>
      </x:c>
      <x:c r="M165" s="4" t="inlineStr">
        <x:is>
          <x:t xml:space="preserve"/>
        </x:is>
      </x:c>
      <x:c r="N165" s="4" t="inlineStr">
        <x:is>
          <x:t xml:space="preserve"/>
        </x:is>
      </x:c>
      <x:c r="O165" s="6" t="n"/>
      <x:c r="P165" s="5">
        <x:f>C165*F165*I165*L165</x:f>
        <x:v>0.0017500000000000003</x:v>
      </x:c>
      <x:c r="Q165" s="7">
        <x:f>IF(O165="","",O165/10*P165)</x:f>
      </x:c>
    </x:row>
    <x:row r="166">
      <x:c r="A166" s="4" t="inlineStr">
        <x:is>
          <x:t xml:space="preserve">D9</x:t>
        </x:is>
      </x:c>
      <x:c r="B166" s="4" t="inlineStr">
        <x:is>
          <x:t xml:space="preserve">ESG &amp; Climate Risk</x:t>
        </x:is>
      </x:c>
      <x:c r="C166" s="5" t="n">
        <x:v>0.05</x:v>
      </x:c>
      <x:c r="D166" s="4" t="inlineStr">
        <x:is>
          <x:t xml:space="preserve">D9_C1</x:t>
        </x:is>
      </x:c>
      <x:c r="E166" s="4" t="inlineStr">
        <x:is>
          <x:t xml:space="preserve">Environmental &amp; Climate Exposure</x:t>
        </x:is>
      </x:c>
      <x:c r="F166" s="5" t="n">
        <x:v>0.4</x:v>
      </x:c>
      <x:c r="G166" s="4" t="inlineStr">
        <x:is>
          <x:t xml:space="preserve">D9_SC3</x:t>
        </x:is>
      </x:c>
      <x:c r="H166" s="4" t="inlineStr">
        <x:is>
          <x:t xml:space="preserve">Transition risk</x:t>
        </x:is>
      </x:c>
      <x:c r="I166" s="5" t="n">
        <x:v>0.25</x:v>
      </x:c>
      <x:c r="J166" s="4" t="inlineStr">
        <x:is>
          <x:t xml:space="preserve">D9_SS9</x:t>
        </x:is>
      </x:c>
      <x:c r="K166" s="4" t="inlineStr">
        <x:is>
          <x:t xml:space="preserve">Évolutivité technologique bas-carbone</x:t>
        </x:is>
      </x:c>
      <x:c r="L166" s="5" t="n">
        <x:v>0.25</x:v>
      </x:c>
      <x:c r="M166" s="4" t="inlineStr">
        <x:is>
          <x:t xml:space="preserve"/>
        </x:is>
      </x:c>
      <x:c r="N166" s="4" t="inlineStr">
        <x:is>
          <x:t xml:space="preserve"/>
        </x:is>
      </x:c>
      <x:c r="O166" s="6" t="n"/>
      <x:c r="P166" s="5">
        <x:f>C166*F166*I166*L166</x:f>
        <x:v>0.0012500000000000002</x:v>
      </x:c>
      <x:c r="Q166" s="7">
        <x:f>IF(O166="","",O166/10*P166)</x:f>
      </x:c>
    </x:row>
    <x:row r="167">
      <x:c r="A167" s="4" t="inlineStr">
        <x:is>
          <x:t xml:space="preserve">D9</x:t>
        </x:is>
      </x:c>
      <x:c r="B167" s="4" t="inlineStr">
        <x:is>
          <x:t xml:space="preserve">ESG &amp; Climate Risk</x:t>
        </x:is>
      </x:c>
      <x:c r="C167" s="5" t="n">
        <x:v>0.05</x:v>
      </x:c>
      <x:c r="D167" s="4" t="inlineStr">
        <x:is>
          <x:t xml:space="preserve">D9_C2</x:t>
        </x:is>
      </x:c>
      <x:c r="E167" s="4" t="inlineStr">
        <x:is>
          <x:t xml:space="preserve">Social &amp; Stakeholder Risk</x:t>
        </x:is>
      </x:c>
      <x:c r="F167" s="5" t="n">
        <x:v>0.3</x:v>
      </x:c>
      <x:c r="G167" s="4" t="inlineStr">
        <x:is>
          <x:t xml:space="preserve">D9_SC4</x:t>
        </x:is>
      </x:c>
      <x:c r="H167" s="4" t="inlineStr">
        <x:is>
          <x:t xml:space="preserve">Social acceptability</x:t>
        </x:is>
      </x:c>
      <x:c r="I167" s="5" t="n">
        <x:v>0.5</x:v>
      </x:c>
      <x:c r="J167" s="4" t="inlineStr">
        <x:is>
          <x:t xml:space="preserve">D9_SS10</x:t>
        </x:is>
      </x:c>
      <x:c r="K167" s="4" t="inlineStr">
        <x:is>
          <x:t xml:space="preserve">Acceptabilité sociale</x:t>
        </x:is>
      </x:c>
      <x:c r="L167" s="5" t="n">
        <x:v>0.4</x:v>
      </x:c>
      <x:c r="M167" s="4" t="inlineStr">
        <x:is>
          <x:t xml:space="preserve"/>
        </x:is>
      </x:c>
      <x:c r="N167" s="4" t="inlineStr">
        <x:is>
          <x:t xml:space="preserve"/>
        </x:is>
      </x:c>
      <x:c r="O167" s="6" t="n"/>
      <x:c r="P167" s="5">
        <x:f>C167*F167*I167*L167</x:f>
        <x:v>0.003</x:v>
      </x:c>
      <x:c r="Q167" s="7">
        <x:f>IF(O167="","",O167/10*P167)</x:f>
      </x:c>
    </x:row>
    <x:row r="168">
      <x:c r="A168" s="4" t="inlineStr">
        <x:is>
          <x:t xml:space="preserve">D9</x:t>
        </x:is>
      </x:c>
      <x:c r="B168" s="4" t="inlineStr">
        <x:is>
          <x:t xml:space="preserve">ESG &amp; Climate Risk</x:t>
        </x:is>
      </x:c>
      <x:c r="C168" s="5" t="n">
        <x:v>0.05</x:v>
      </x:c>
      <x:c r="D168" s="4" t="inlineStr">
        <x:is>
          <x:t xml:space="preserve">D9_C2</x:t>
        </x:is>
      </x:c>
      <x:c r="E168" s="4" t="inlineStr">
        <x:is>
          <x:t xml:space="preserve">Social &amp; Stakeholder Risk</x:t>
        </x:is>
      </x:c>
      <x:c r="F168" s="5" t="n">
        <x:v>0.3</x:v>
      </x:c>
      <x:c r="G168" s="4" t="inlineStr">
        <x:is>
          <x:t xml:space="preserve">D9_SC4</x:t>
        </x:is>
      </x:c>
      <x:c r="H168" s="4" t="inlineStr">
        <x:is>
          <x:t xml:space="preserve">Social acceptability</x:t>
        </x:is>
      </x:c>
      <x:c r="I168" s="5" t="n">
        <x:v>0.5</x:v>
      </x:c>
      <x:c r="J168" s="4" t="inlineStr">
        <x:is>
          <x:t xml:space="preserve">D9_SS11</x:t>
        </x:is>
      </x:c>
      <x:c r="K168" s="4" t="inlineStr">
        <x:is>
          <x:t xml:space="preserve">Risque social / communautés</x:t>
        </x:is>
      </x:c>
      <x:c r="L168" s="5" t="n">
        <x:v>0.35</x:v>
      </x:c>
      <x:c r="M168" s="4" t="inlineStr">
        <x:is>
          <x:t xml:space="preserve"/>
        </x:is>
      </x:c>
      <x:c r="N168" s="4" t="inlineStr">
        <x:is>
          <x:t xml:space="preserve"/>
        </x:is>
      </x:c>
      <x:c r="O168" s="6" t="n"/>
      <x:c r="P168" s="5">
        <x:f>C168*F168*I168*L168</x:f>
        <x:v>0.0026249999999999997</x:v>
      </x:c>
      <x:c r="Q168" s="7">
        <x:f>IF(O168="","",O168/10*P168)</x:f>
      </x:c>
    </x:row>
    <x:row r="169">
      <x:c r="A169" s="4" t="inlineStr">
        <x:is>
          <x:t xml:space="preserve">D9</x:t>
        </x:is>
      </x:c>
      <x:c r="B169" s="4" t="inlineStr">
        <x:is>
          <x:t xml:space="preserve">ESG &amp; Climate Risk</x:t>
        </x:is>
      </x:c>
      <x:c r="C169" s="5" t="n">
        <x:v>0.05</x:v>
      </x:c>
      <x:c r="D169" s="4" t="inlineStr">
        <x:is>
          <x:t xml:space="preserve">D9_C2</x:t>
        </x:is>
      </x:c>
      <x:c r="E169" s="4" t="inlineStr">
        <x:is>
          <x:t xml:space="preserve">Social &amp; Stakeholder Risk</x:t>
        </x:is>
      </x:c>
      <x:c r="F169" s="5" t="n">
        <x:v>0.3</x:v>
      </x:c>
      <x:c r="G169" s="4" t="inlineStr">
        <x:is>
          <x:t xml:space="preserve">D9_SC4</x:t>
        </x:is>
      </x:c>
      <x:c r="H169" s="4" t="inlineStr">
        <x:is>
          <x:t xml:space="preserve">Social acceptability</x:t>
        </x:is>
      </x:c>
      <x:c r="I169" s="5" t="n">
        <x:v>0.5</x:v>
      </x:c>
      <x:c r="J169" s="4" t="inlineStr">
        <x:is>
          <x:t xml:space="preserve">D9_SS12</x:t>
        </x:is>
      </x:c>
      <x:c r="K169" s="4" t="inlineStr">
        <x:is>
          <x:t xml:space="preserve">Santé/sécurité des parties prenantes</x:t>
        </x:is>
      </x:c>
      <x:c r="L169" s="5" t="n">
        <x:v>0.25</x:v>
      </x:c>
      <x:c r="M169" s="4" t="inlineStr">
        <x:is>
          <x:t xml:space="preserve"/>
        </x:is>
      </x:c>
      <x:c r="N169" s="4" t="inlineStr">
        <x:is>
          <x:t xml:space="preserve"/>
        </x:is>
      </x:c>
      <x:c r="O169" s="6" t="n"/>
      <x:c r="P169" s="5">
        <x:f>C169*F169*I169*L169</x:f>
        <x:v>0.001875</x:v>
      </x:c>
      <x:c r="Q169" s="7">
        <x:f>IF(O169="","",O169/10*P169)</x:f>
      </x:c>
    </x:row>
    <x:row r="170">
      <x:c r="A170" s="4" t="inlineStr">
        <x:is>
          <x:t xml:space="preserve">D9</x:t>
        </x:is>
      </x:c>
      <x:c r="B170" s="4" t="inlineStr">
        <x:is>
          <x:t xml:space="preserve">ESG &amp; Climate Risk</x:t>
        </x:is>
      </x:c>
      <x:c r="C170" s="5" t="n">
        <x:v>0.05</x:v>
      </x:c>
      <x:c r="D170" s="4" t="inlineStr">
        <x:is>
          <x:t xml:space="preserve">D9_C2</x:t>
        </x:is>
      </x:c>
      <x:c r="E170" s="4" t="inlineStr">
        <x:is>
          <x:t xml:space="preserve">Social &amp; Stakeholder Risk</x:t>
        </x:is>
      </x:c>
      <x:c r="F170" s="5" t="n">
        <x:v>0.3</x:v>
      </x:c>
      <x:c r="G170" s="4" t="inlineStr">
        <x:is>
          <x:t xml:space="preserve">D9_SC5</x:t>
        </x:is>
      </x:c>
      <x:c r="H170" s="4" t="inlineStr">
        <x:is>
          <x:t xml:space="preserve">Stakeholder management</x:t>
        </x:is>
      </x:c>
      <x:c r="I170" s="5" t="n">
        <x:v>0.5</x:v>
      </x:c>
      <x:c r="J170" s="4" t="inlineStr">
        <x:is>
          <x:t xml:space="preserve">D9_SS13</x:t>
        </x:is>
      </x:c>
      <x:c r="K170" s="4" t="inlineStr">
        <x:is>
          <x:t xml:space="preserve">Plan parties prenantes</x:t>
        </x:is>
      </x:c>
      <x:c r="L170" s="5" t="n">
        <x:v>0.4</x:v>
      </x:c>
      <x:c r="M170" s="4" t="inlineStr">
        <x:is>
          <x:t xml:space="preserve"/>
        </x:is>
      </x:c>
      <x:c r="N170" s="4" t="inlineStr">
        <x:is>
          <x:t xml:space="preserve"/>
        </x:is>
      </x:c>
      <x:c r="O170" s="6" t="n"/>
      <x:c r="P170" s="5">
        <x:f>C170*F170*I170*L170</x:f>
        <x:v>0.003</x:v>
      </x:c>
      <x:c r="Q170" s="7">
        <x:f>IF(O170="","",O170/10*P170)</x:f>
      </x:c>
    </x:row>
    <x:row r="171">
      <x:c r="A171" s="4" t="inlineStr">
        <x:is>
          <x:t xml:space="preserve">D9</x:t>
        </x:is>
      </x:c>
      <x:c r="B171" s="4" t="inlineStr">
        <x:is>
          <x:t xml:space="preserve">ESG &amp; Climate Risk</x:t>
        </x:is>
      </x:c>
      <x:c r="C171" s="5" t="n">
        <x:v>0.05</x:v>
      </x:c>
      <x:c r="D171" s="4" t="inlineStr">
        <x:is>
          <x:t xml:space="preserve">D9_C2</x:t>
        </x:is>
      </x:c>
      <x:c r="E171" s="4" t="inlineStr">
        <x:is>
          <x:t xml:space="preserve">Social &amp; Stakeholder Risk</x:t>
        </x:is>
      </x:c>
      <x:c r="F171" s="5" t="n">
        <x:v>0.3</x:v>
      </x:c>
      <x:c r="G171" s="4" t="inlineStr">
        <x:is>
          <x:t xml:space="preserve">D9_SC5</x:t>
        </x:is>
      </x:c>
      <x:c r="H171" s="4" t="inlineStr">
        <x:is>
          <x:t xml:space="preserve">Stakeholder management</x:t>
        </x:is>
      </x:c>
      <x:c r="I171" s="5" t="n">
        <x:v>0.5</x:v>
      </x:c>
      <x:c r="J171" s="4" t="inlineStr">
        <x:is>
          <x:t xml:space="preserve">D9_SS14</x:t>
        </x:is>
      </x:c>
      <x:c r="K171" s="4" t="inlineStr">
        <x:is>
          <x:t xml:space="preserve">Gestion plaintes / recours</x:t>
        </x:is>
      </x:c>
      <x:c r="L171" s="5" t="n">
        <x:v>0.3</x:v>
      </x:c>
      <x:c r="M171" s="4" t="inlineStr">
        <x:is>
          <x:t xml:space="preserve"/>
        </x:is>
      </x:c>
      <x:c r="N171" s="4" t="inlineStr">
        <x:is>
          <x:t xml:space="preserve"/>
        </x:is>
      </x:c>
      <x:c r="O171" s="6" t="n"/>
      <x:c r="P171" s="5">
        <x:f>C171*F171*I171*L171</x:f>
        <x:v>0.00225</x:v>
      </x:c>
      <x:c r="Q171" s="7">
        <x:f>IF(O171="","",O171/10*P171)</x:f>
      </x:c>
    </x:row>
    <x:row r="172">
      <x:c r="A172" s="4" t="inlineStr">
        <x:is>
          <x:t xml:space="preserve">D9</x:t>
        </x:is>
      </x:c>
      <x:c r="B172" s="4" t="inlineStr">
        <x:is>
          <x:t xml:space="preserve">ESG &amp; Climate Risk</x:t>
        </x:is>
      </x:c>
      <x:c r="C172" s="5" t="n">
        <x:v>0.05</x:v>
      </x:c>
      <x:c r="D172" s="4" t="inlineStr">
        <x:is>
          <x:t xml:space="preserve">D9_C2</x:t>
        </x:is>
      </x:c>
      <x:c r="E172" s="4" t="inlineStr">
        <x:is>
          <x:t xml:space="preserve">Social &amp; Stakeholder Risk</x:t>
        </x:is>
      </x:c>
      <x:c r="F172" s="5" t="n">
        <x:v>0.3</x:v>
      </x:c>
      <x:c r="G172" s="4" t="inlineStr">
        <x:is>
          <x:t xml:space="preserve">D9_SC5</x:t>
        </x:is>
      </x:c>
      <x:c r="H172" s="4" t="inlineStr">
        <x:is>
          <x:t xml:space="preserve">Stakeholder management</x:t>
        </x:is>
      </x:c>
      <x:c r="I172" s="5" t="n">
        <x:v>0.5</x:v>
      </x:c>
      <x:c r="J172" s="4" t="inlineStr">
        <x:is>
          <x:t xml:space="preserve">D9_SS15</x:t>
        </x:is>
      </x:c>
      <x:c r="K172" s="4" t="inlineStr">
        <x:is>
          <x:t xml:space="preserve">Contenu local / retombées positives</x:t>
        </x:is>
      </x:c>
      <x:c r="L172" s="5" t="n">
        <x:v>0.3</x:v>
      </x:c>
      <x:c r="M172" s="4" t="inlineStr">
        <x:is>
          <x:t xml:space="preserve"/>
        </x:is>
      </x:c>
      <x:c r="N172" s="4" t="inlineStr">
        <x:is>
          <x:t xml:space="preserve"/>
        </x:is>
      </x:c>
      <x:c r="O172" s="6" t="n"/>
      <x:c r="P172" s="5">
        <x:f>C172*F172*I172*L172</x:f>
        <x:v>0.00225</x:v>
      </x:c>
      <x:c r="Q172" s="7">
        <x:f>IF(O172="","",O172/10*P172)</x:f>
      </x:c>
    </x:row>
    <x:row r="173">
      <x:c r="A173" s="4" t="inlineStr">
        <x:is>
          <x:t xml:space="preserve">D9</x:t>
        </x:is>
      </x:c>
      <x:c r="B173" s="4" t="inlineStr">
        <x:is>
          <x:t xml:space="preserve">ESG &amp; Climate Risk</x:t>
        </x:is>
      </x:c>
      <x:c r="C173" s="5" t="n">
        <x:v>0.05</x:v>
      </x:c>
      <x:c r="D173" s="4" t="inlineStr">
        <x:is>
          <x:t xml:space="preserve">D9_C3</x:t>
        </x:is>
      </x:c>
      <x:c r="E173" s="4" t="inlineStr">
        <x:is>
          <x:t xml:space="preserve">ESG Governance</x:t>
        </x:is>
      </x:c>
      <x:c r="F173" s="5" t="n">
        <x:v>0.3</x:v>
      </x:c>
      <x:c r="G173" s="4" t="inlineStr">
        <x:is>
          <x:t xml:space="preserve">D9_SC6</x:t>
        </x:is>
      </x:c>
      <x:c r="H173" s="4" t="inlineStr">
        <x:is>
          <x:t xml:space="preserve">ESG management system</x:t>
        </x:is>
      </x:c>
      <x:c r="I173" s="5" t="n">
        <x:v>0.5</x:v>
      </x:c>
      <x:c r="J173" s="4" t="inlineStr">
        <x:is>
          <x:t xml:space="preserve">D9_SS16</x:t>
        </x:is>
      </x:c>
      <x:c r="K173" s="4" t="inlineStr">
        <x:is>
          <x:t xml:space="preserve">Système de management ESG</x:t>
        </x:is>
      </x:c>
      <x:c r="L173" s="5" t="n">
        <x:v>0.4</x:v>
      </x:c>
      <x:c r="M173" s="4" t="inlineStr">
        <x:is>
          <x:t xml:space="preserve"/>
        </x:is>
      </x:c>
      <x:c r="N173" s="4" t="inlineStr">
        <x:is>
          <x:t xml:space="preserve"/>
        </x:is>
      </x:c>
      <x:c r="O173" s="6" t="n"/>
      <x:c r="P173" s="5">
        <x:f>C173*F173*I173*L173</x:f>
        <x:v>0.003</x:v>
      </x:c>
      <x:c r="Q173" s="7">
        <x:f>IF(O173="","",O173/10*P173)</x:f>
      </x:c>
    </x:row>
    <x:row r="174">
      <x:c r="A174" s="4" t="inlineStr">
        <x:is>
          <x:t xml:space="preserve">D9</x:t>
        </x:is>
      </x:c>
      <x:c r="B174" s="4" t="inlineStr">
        <x:is>
          <x:t xml:space="preserve">ESG &amp; Climate Risk</x:t>
        </x:is>
      </x:c>
      <x:c r="C174" s="5" t="n">
        <x:v>0.05</x:v>
      </x:c>
      <x:c r="D174" s="4" t="inlineStr">
        <x:is>
          <x:t xml:space="preserve">D9_C3</x:t>
        </x:is>
      </x:c>
      <x:c r="E174" s="4" t="inlineStr">
        <x:is>
          <x:t xml:space="preserve">ESG Governance</x:t>
        </x:is>
      </x:c>
      <x:c r="F174" s="5" t="n">
        <x:v>0.3</x:v>
      </x:c>
      <x:c r="G174" s="4" t="inlineStr">
        <x:is>
          <x:t xml:space="preserve">D9_SC6</x:t>
        </x:is>
      </x:c>
      <x:c r="H174" s="4" t="inlineStr">
        <x:is>
          <x:t xml:space="preserve">ESG management system</x:t>
        </x:is>
      </x:c>
      <x:c r="I174" s="5" t="n">
        <x:v>0.5</x:v>
      </x:c>
      <x:c r="J174" s="4" t="inlineStr">
        <x:is>
          <x:t xml:space="preserve">D9_SS17</x:t>
        </x:is>
      </x:c>
      <x:c r="K174" s="4" t="inlineStr">
        <x:is>
          <x:t xml:space="preserve">Indicateurs/KPIs ESG</x:t>
        </x:is>
      </x:c>
      <x:c r="L174" s="5" t="n">
        <x:v>0.3</x:v>
      </x:c>
      <x:c r="M174" s="4" t="inlineStr">
        <x:is>
          <x:t xml:space="preserve"/>
        </x:is>
      </x:c>
      <x:c r="N174" s="4" t="inlineStr">
        <x:is>
          <x:t xml:space="preserve"/>
        </x:is>
      </x:c>
      <x:c r="O174" s="6" t="n"/>
      <x:c r="P174" s="5">
        <x:f>C174*F174*I174*L174</x:f>
        <x:v>0.00225</x:v>
      </x:c>
      <x:c r="Q174" s="7">
        <x:f>IF(O174="","",O174/10*P174)</x:f>
      </x:c>
    </x:row>
    <x:row r="175">
      <x:c r="A175" s="4" t="inlineStr">
        <x:is>
          <x:t xml:space="preserve">D9</x:t>
        </x:is>
      </x:c>
      <x:c r="B175" s="4" t="inlineStr">
        <x:is>
          <x:t xml:space="preserve">ESG &amp; Climate Risk</x:t>
        </x:is>
      </x:c>
      <x:c r="C175" s="5" t="n">
        <x:v>0.05</x:v>
      </x:c>
      <x:c r="D175" s="4" t="inlineStr">
        <x:is>
          <x:t xml:space="preserve">D9_C3</x:t>
        </x:is>
      </x:c>
      <x:c r="E175" s="4" t="inlineStr">
        <x:is>
          <x:t xml:space="preserve">ESG Governance</x:t>
        </x:is>
      </x:c>
      <x:c r="F175" s="5" t="n">
        <x:v>0.3</x:v>
      </x:c>
      <x:c r="G175" s="4" t="inlineStr">
        <x:is>
          <x:t xml:space="preserve">D9_SC6</x:t>
        </x:is>
      </x:c>
      <x:c r="H175" s="4" t="inlineStr">
        <x:is>
          <x:t xml:space="preserve">ESG management system</x:t>
        </x:is>
      </x:c>
      <x:c r="I175" s="5" t="n">
        <x:v>0.5</x:v>
      </x:c>
      <x:c r="J175" s="4" t="inlineStr">
        <x:is>
          <x:t xml:space="preserve">D9_SS18</x:t>
        </x:is>
      </x:c>
      <x:c r="K175" s="4" t="inlineStr">
        <x:is>
          <x:t xml:space="preserve">Audit / monitoring ESG</x:t>
        </x:is>
      </x:c>
      <x:c r="L175" s="5" t="n">
        <x:v>0.3</x:v>
      </x:c>
      <x:c r="M175" s="4" t="inlineStr">
        <x:is>
          <x:t xml:space="preserve"/>
        </x:is>
      </x:c>
      <x:c r="N175" s="4" t="inlineStr">
        <x:is>
          <x:t xml:space="preserve"/>
        </x:is>
      </x:c>
      <x:c r="O175" s="6" t="n"/>
      <x:c r="P175" s="5">
        <x:f>C175*F175*I175*L175</x:f>
        <x:v>0.00225</x:v>
      </x:c>
      <x:c r="Q175" s="7">
        <x:f>IF(O175="","",O175/10*P175)</x:f>
      </x:c>
    </x:row>
    <x:row r="176">
      <x:c r="A176" s="4" t="inlineStr">
        <x:is>
          <x:t xml:space="preserve">D9</x:t>
        </x:is>
      </x:c>
      <x:c r="B176" s="4" t="inlineStr">
        <x:is>
          <x:t xml:space="preserve">ESG &amp; Climate Risk</x:t>
        </x:is>
      </x:c>
      <x:c r="C176" s="5" t="n">
        <x:v>0.05</x:v>
      </x:c>
      <x:c r="D176" s="4" t="inlineStr">
        <x:is>
          <x:t xml:space="preserve">D9_C3</x:t>
        </x:is>
      </x:c>
      <x:c r="E176" s="4" t="inlineStr">
        <x:is>
          <x:t xml:space="preserve">ESG Governance</x:t>
        </x:is>
      </x:c>
      <x:c r="F176" s="5" t="n">
        <x:v>0.3</x:v>
      </x:c>
      <x:c r="G176" s="4" t="inlineStr">
        <x:is>
          <x:t xml:space="preserve">D9_SC7</x:t>
        </x:is>
      </x:c>
      <x:c r="H176" s="4" t="inlineStr">
        <x:is>
          <x:t xml:space="preserve">Climate governance</x:t>
        </x:is>
      </x:c>
      <x:c r="I176" s="5" t="n">
        <x:v>0.5</x:v>
      </x:c>
      <x:c r="J176" s="4" t="inlineStr">
        <x:is>
          <x:t xml:space="preserve">D9_SS19</x:t>
        </x:is>
      </x:c>
      <x:c r="K176" s="4" t="inlineStr">
        <x:is>
          <x:t xml:space="preserve">Intégration climat dans gouvernance</x:t>
        </x:is>
      </x:c>
      <x:c r="L176" s="5" t="n">
        <x:v>0.4</x:v>
      </x:c>
      <x:c r="M176" s="4" t="inlineStr">
        <x:is>
          <x:t xml:space="preserve"/>
        </x:is>
      </x:c>
      <x:c r="N176" s="4" t="inlineStr">
        <x:is>
          <x:t xml:space="preserve"/>
        </x:is>
      </x:c>
      <x:c r="O176" s="6" t="n"/>
      <x:c r="P176" s="5">
        <x:f>C176*F176*I176*L176</x:f>
        <x:v>0.003</x:v>
      </x:c>
      <x:c r="Q176" s="7">
        <x:f>IF(O176="","",O176/10*P176)</x:f>
      </x:c>
    </x:row>
    <x:row r="177">
      <x:c r="A177" s="4" t="inlineStr">
        <x:is>
          <x:t xml:space="preserve">D9</x:t>
        </x:is>
      </x:c>
      <x:c r="B177" s="4" t="inlineStr">
        <x:is>
          <x:t xml:space="preserve">ESG &amp; Climate Risk</x:t>
        </x:is>
      </x:c>
      <x:c r="C177" s="5" t="n">
        <x:v>0.05</x:v>
      </x:c>
      <x:c r="D177" s="4" t="inlineStr">
        <x:is>
          <x:t xml:space="preserve">D9_C3</x:t>
        </x:is>
      </x:c>
      <x:c r="E177" s="4" t="inlineStr">
        <x:is>
          <x:t xml:space="preserve">ESG Governance</x:t>
        </x:is>
      </x:c>
      <x:c r="F177" s="5" t="n">
        <x:v>0.3</x:v>
      </x:c>
      <x:c r="G177" s="4" t="inlineStr">
        <x:is>
          <x:t xml:space="preserve">D9_SC7</x:t>
        </x:is>
      </x:c>
      <x:c r="H177" s="4" t="inlineStr">
        <x:is>
          <x:t xml:space="preserve">Climate governance</x:t>
        </x:is>
      </x:c>
      <x:c r="I177" s="5" t="n">
        <x:v>0.5</x:v>
      </x:c>
      <x:c r="J177" s="4" t="inlineStr">
        <x:is>
          <x:t xml:space="preserve">D9_SS20</x:t>
        </x:is>
      </x:c>
      <x:c r="K177" s="4" t="inlineStr">
        <x:is>
          <x:t xml:space="preserve">Plan d'adaptation / transition</x:t>
        </x:is>
      </x:c>
      <x:c r="L177" s="5" t="n">
        <x:v>0.35</x:v>
      </x:c>
      <x:c r="M177" s="4" t="inlineStr">
        <x:is>
          <x:t xml:space="preserve"/>
        </x:is>
      </x:c>
      <x:c r="N177" s="4" t="inlineStr">
        <x:is>
          <x:t xml:space="preserve"/>
        </x:is>
      </x:c>
      <x:c r="O177" s="6" t="n"/>
      <x:c r="P177" s="5">
        <x:f>C177*F177*I177*L177</x:f>
        <x:v>0.0026249999999999997</x:v>
      </x:c>
      <x:c r="Q177" s="7">
        <x:f>IF(O177="","",O177/10*P177)</x:f>
      </x:c>
    </x:row>
    <x:row r="178">
      <x:c r="A178" s="4" t="inlineStr">
        <x:is>
          <x:t xml:space="preserve">D9</x:t>
        </x:is>
      </x:c>
      <x:c r="B178" s="4" t="inlineStr">
        <x:is>
          <x:t xml:space="preserve">ESG &amp; Climate Risk</x:t>
        </x:is>
      </x:c>
      <x:c r="C178" s="5" t="n">
        <x:v>0.05</x:v>
      </x:c>
      <x:c r="D178" s="4" t="inlineStr">
        <x:is>
          <x:t xml:space="preserve">D9_C3</x:t>
        </x:is>
      </x:c>
      <x:c r="E178" s="4" t="inlineStr">
        <x:is>
          <x:t xml:space="preserve">ESG Governance</x:t>
        </x:is>
      </x:c>
      <x:c r="F178" s="5" t="n">
        <x:v>0.3</x:v>
      </x:c>
      <x:c r="G178" s="4" t="inlineStr">
        <x:is>
          <x:t xml:space="preserve">D9_SC7</x:t>
        </x:is>
      </x:c>
      <x:c r="H178" s="4" t="inlineStr">
        <x:is>
          <x:t xml:space="preserve">Climate governance</x:t>
        </x:is>
      </x:c>
      <x:c r="I178" s="5" t="n">
        <x:v>0.5</x:v>
      </x:c>
      <x:c r="J178" s="4" t="inlineStr">
        <x:is>
          <x:t xml:space="preserve">D9_SS21</x:t>
        </x:is>
      </x:c>
      <x:c r="K178" s="4" t="inlineStr">
        <x:is>
          <x:t xml:space="preserve">Qualité reporting climat</x:t>
        </x:is>
      </x:c>
      <x:c r="L178" s="5" t="n">
        <x:v>0.25</x:v>
      </x:c>
      <x:c r="M178" s="4" t="inlineStr">
        <x:is>
          <x:t xml:space="preserve"/>
        </x:is>
      </x:c>
      <x:c r="N178" s="4" t="inlineStr">
        <x:is>
          <x:t xml:space="preserve"/>
        </x:is>
      </x:c>
      <x:c r="O178" s="6" t="n"/>
      <x:c r="P178" s="5">
        <x:f>C178*F178*I178*L178</x:f>
        <x:v>0.001875</x:v>
      </x:c>
      <x:c r="Q178" s="7">
        <x:f>IF(O178="","",O178/10*P178)</x:f>
      </x:c>
    </x:row>
  </x:sheetData>
  <x:pageMargins left="0.7" right="0.7" top="0.75" bottom="0.75" header="0.3" footer="0.3"/>
  <x:legacyDrawing xmlns:r="http://schemas.openxmlformats.org/officeDocument/2006/relationships" r:id="R61a73babdeac4816"/>
  <x:tableParts count="1">
    <x:tablePart xmlns:r="http://schemas.openxmlformats.org/officeDocument/2006/relationships" r:id="R50e76ba5e15c4704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4" customWidth="1"/>
    <x:col min="2" max="2" width="16" customWidth="1"/>
    <x:col min="3" max="3" width="36" customWidth="1"/>
    <x:col min="4" max="4" width="14" customWidth="1"/>
    <x:col min="5" max="5" width="12" customWidth="1"/>
    <x:col min="6" max="6" width="12" customWidth="1"/>
    <x:col min="7" max="7" width="14" customWidth="1"/>
  </x:cols>
  <x:sheetData>
    <x:row r="1">
      <x:c r="A1" s="1" t="inlineStr">
        <x:is>
          <x:t xml:space="preserve">Contrôles de cohérence</x:t>
        </x:is>
      </x:c>
    </x:row>
    <x:row r="3">
      <x:c r="A3" s="8" t="inlineStr">
        <x:is>
          <x:t xml:space="preserve">Niveau</x:t>
        </x:is>
      </x:c>
      <x:c r="B3" s="8" t="inlineStr">
        <x:is>
          <x:t xml:space="preserve">Code parent</x:t>
        </x:is>
      </x:c>
      <x:c r="C3" s="8" t="inlineStr">
        <x:is>
          <x:t xml:space="preserve">Libellé parent</x:t>
        </x:is>
      </x:c>
      <x:c r="D3" s="8" t="inlineStr">
        <x:is>
          <x:t xml:space="preserve">Somme des poids</x:t>
        </x:is>
      </x:c>
      <x:c r="E3" s="8" t="inlineStr">
        <x:is>
          <x:t xml:space="preserve">Attendu</x:t>
        </x:is>
      </x:c>
      <x:c r="F3" s="8" t="inlineStr">
        <x:is>
          <x:t xml:space="preserve">Ecart</x:t>
        </x:is>
      </x:c>
      <x:c r="G3" s="8" t="inlineStr">
        <x:is>
          <x:t xml:space="preserve">Statut</x:t>
        </x:is>
      </x:c>
    </x:row>
    <x:row r="4">
      <x:c r="A4" t="inlineStr">
        <x:is>
          <x:t xml:space="preserve">Domaine</x:t>
        </x:is>
      </x:c>
      <x:c r="B4" t="inlineStr">
        <x:is>
          <x:t xml:space="preserve">D1</x:t>
        </x:is>
      </x:c>
      <x:c r="C4" t="inlineStr">
        <x:is>
          <x:t xml:space="preserve">Sponsor &amp; Governance</x:t>
        </x:is>
      </x:c>
      <x:c r="D4" s="9">
        <x:f>SUMIF(PARAM_CRITERES!A:A,B4,PARAM_CRITERES!D:D)</x:f>
        <x:v>1</x:v>
      </x:c>
      <x:c r="E4" s="9" t="n">
        <x:v>1</x:v>
      </x:c>
      <x:c r="F4" s="9">
        <x:f>D4-E4</x:f>
        <x:v>0</x:v>
      </x:c>
      <x:c r="G4" t="str">
        <x:f>IF(ABS(F4)&lt;0.000001,"OK","A CORRIGER")</x:f>
        <x:v>OK</x:v>
      </x:c>
    </x:row>
    <x:row r="5">
      <x:c r="A5" t="inlineStr">
        <x:is>
          <x:t xml:space="preserve">Domaine</x:t>
        </x:is>
      </x:c>
      <x:c r="B5" t="inlineStr">
        <x:is>
          <x:t xml:space="preserve">D2</x:t>
        </x:is>
      </x:c>
      <x:c r="C5" t="inlineStr">
        <x:is>
          <x:t xml:space="preserve">Project Fundamentals</x:t>
        </x:is>
      </x:c>
      <x:c r="D5" s="9">
        <x:f>SUMIF(PARAM_CRITERES!A:A,B5,PARAM_CRITERES!D:D)</x:f>
        <x:v>1</x:v>
      </x:c>
      <x:c r="E5" s="9" t="n">
        <x:v>1</x:v>
      </x:c>
      <x:c r="F5" s="9">
        <x:f>D5-E5</x:f>
        <x:v>0</x:v>
      </x:c>
      <x:c r="G5" t="str">
        <x:f>IF(ABS(F5)&lt;0.000001,"OK","A CORRIGER")</x:f>
        <x:v>OK</x:v>
      </x:c>
    </x:row>
    <x:row r="6">
      <x:c r="A6" t="inlineStr">
        <x:is>
          <x:t xml:space="preserve">Domaine</x:t>
        </x:is>
      </x:c>
      <x:c r="B6" t="inlineStr">
        <x:is>
          <x:t xml:space="preserve">D3</x:t>
        </x:is>
      </x:c>
      <x:c r="C6" t="inlineStr">
        <x:is>
          <x:t xml:space="preserve">Construction Phase</x:t>
        </x:is>
      </x:c>
      <x:c r="D6" s="9">
        <x:f>SUMIF(PARAM_CRITERES!A:A,B6,PARAM_CRITERES!D:D)</x:f>
        <x:v>1</x:v>
      </x:c>
      <x:c r="E6" s="9" t="n">
        <x:v>1</x:v>
      </x:c>
      <x:c r="F6" s="9">
        <x:f>D6-E6</x:f>
        <x:v>0</x:v>
      </x:c>
      <x:c r="G6" t="str">
        <x:f>IF(ABS(F6)&lt;0.000001,"OK","A CORRIGER")</x:f>
        <x:v>OK</x:v>
      </x:c>
    </x:row>
    <x:row r="7">
      <x:c r="A7" t="inlineStr">
        <x:is>
          <x:t xml:space="preserve">Domaine</x:t>
        </x:is>
      </x:c>
      <x:c r="B7" t="inlineStr">
        <x:is>
          <x:t xml:space="preserve">D4</x:t>
        </x:is>
      </x:c>
      <x:c r="C7" t="inlineStr">
        <x:is>
          <x:t xml:space="preserve">Operation Phase</x:t>
        </x:is>
      </x:c>
      <x:c r="D7" s="9">
        <x:f>SUMIF(PARAM_CRITERES!A:A,B7,PARAM_CRITERES!D:D)</x:f>
        <x:v>1</x:v>
      </x:c>
      <x:c r="E7" s="9" t="n">
        <x:v>1</x:v>
      </x:c>
      <x:c r="F7" s="9">
        <x:f>D7-E7</x:f>
        <x:v>0</x:v>
      </x:c>
      <x:c r="G7" t="str">
        <x:f>IF(ABS(F7)&lt;0.000001,"OK","A CORRIGER")</x:f>
        <x:v>OK</x:v>
      </x:c>
    </x:row>
    <x:row r="8">
      <x:c r="A8" t="inlineStr">
        <x:is>
          <x:t xml:space="preserve">Domaine</x:t>
        </x:is>
      </x:c>
      <x:c r="B8" t="inlineStr">
        <x:is>
          <x:t xml:space="preserve">D5</x:t>
        </x:is>
      </x:c>
      <x:c r="C8" t="inlineStr">
        <x:is>
          <x:t xml:space="preserve">Financial Structure</x:t>
        </x:is>
      </x:c>
      <x:c r="D8" s="9">
        <x:f>SUMIF(PARAM_CRITERES!A:A,B8,PARAM_CRITERES!D:D)</x:f>
        <x:v>1</x:v>
      </x:c>
      <x:c r="E8" s="9" t="n">
        <x:v>1</x:v>
      </x:c>
      <x:c r="F8" s="9">
        <x:f>D8-E8</x:f>
        <x:v>0</x:v>
      </x:c>
      <x:c r="G8" t="str">
        <x:f>IF(ABS(F8)&lt;0.000001,"OK","A CORRIGER")</x:f>
        <x:v>OK</x:v>
      </x:c>
    </x:row>
    <x:row r="9">
      <x:c r="A9" t="inlineStr">
        <x:is>
          <x:t xml:space="preserve">Domaine</x:t>
        </x:is>
      </x:c>
      <x:c r="B9" t="inlineStr">
        <x:is>
          <x:t xml:space="preserve">D6</x:t>
        </x:is>
      </x:c>
      <x:c r="C9" t="inlineStr">
        <x:is>
          <x:t xml:space="preserve">Revenue &amp; Contracts</x:t>
        </x:is>
      </x:c>
      <x:c r="D9" s="9">
        <x:f>SUMIF(PARAM_CRITERES!A:A,B9,PARAM_CRITERES!D:D)</x:f>
        <x:v>1</x:v>
      </x:c>
      <x:c r="E9" s="9" t="n">
        <x:v>1</x:v>
      </x:c>
      <x:c r="F9" s="9">
        <x:f>D9-E9</x:f>
        <x:v>0</x:v>
      </x:c>
      <x:c r="G9" t="str">
        <x:f>IF(ABS(F9)&lt;0.000001,"OK","A CORRIGER")</x:f>
        <x:v>OK</x:v>
      </x:c>
    </x:row>
    <x:row r="10">
      <x:c r="A10" t="inlineStr">
        <x:is>
          <x:t xml:space="preserve">Domaine</x:t>
        </x:is>
      </x:c>
      <x:c r="B10" t="inlineStr">
        <x:is>
          <x:t xml:space="preserve">D7</x:t>
        </x:is>
      </x:c>
      <x:c r="C10" t="inlineStr">
        <x:is>
          <x:t xml:space="preserve">Risk Allocation</x:t>
        </x:is>
      </x:c>
      <x:c r="D10" s="9">
        <x:f>SUMIF(PARAM_CRITERES!A:A,B10,PARAM_CRITERES!D:D)</x:f>
        <x:v>1</x:v>
      </x:c>
      <x:c r="E10" s="9" t="n">
        <x:v>1</x:v>
      </x:c>
      <x:c r="F10" s="9">
        <x:f>D10-E10</x:f>
        <x:v>0</x:v>
      </x:c>
      <x:c r="G10" t="str">
        <x:f>IF(ABS(F10)&lt;0.000001,"OK","A CORRIGER")</x:f>
        <x:v>OK</x:v>
      </x:c>
    </x:row>
    <x:row r="11">
      <x:c r="A11" t="inlineStr">
        <x:is>
          <x:t xml:space="preserve">Domaine</x:t>
        </x:is>
      </x:c>
      <x:c r="B11" t="inlineStr">
        <x:is>
          <x:t xml:space="preserve">D8</x:t>
        </x:is>
      </x:c>
      <x:c r="C11" t="inlineStr">
        <x:is>
          <x:t xml:space="preserve">Legal &amp; Documentation</x:t>
        </x:is>
      </x:c>
      <x:c r="D11" s="9">
        <x:f>SUMIF(PARAM_CRITERES!A:A,B11,PARAM_CRITERES!D:D)</x:f>
        <x:v>1</x:v>
      </x:c>
      <x:c r="E11" s="9" t="n">
        <x:v>1</x:v>
      </x:c>
      <x:c r="F11" s="9">
        <x:f>D11-E11</x:f>
        <x:v>0</x:v>
      </x:c>
      <x:c r="G11" t="str">
        <x:f>IF(ABS(F11)&lt;0.000001,"OK","A CORRIGER")</x:f>
        <x:v>OK</x:v>
      </x:c>
    </x:row>
    <x:row r="12">
      <x:c r="A12" t="inlineStr">
        <x:is>
          <x:t xml:space="preserve">Domaine</x:t>
        </x:is>
      </x:c>
      <x:c r="B12" t="inlineStr">
        <x:is>
          <x:t xml:space="preserve">D9</x:t>
        </x:is>
      </x:c>
      <x:c r="C12" t="inlineStr">
        <x:is>
          <x:t xml:space="preserve">ESG &amp; Climate Risk</x:t>
        </x:is>
      </x:c>
      <x:c r="D12" s="9">
        <x:f>SUMIF(PARAM_CRITERES!A:A,B12,PARAM_CRITERES!D:D)</x:f>
        <x:v>1</x:v>
      </x:c>
      <x:c r="E12" s="9" t="n">
        <x:v>1</x:v>
      </x:c>
      <x:c r="F12" s="9">
        <x:f>D12-E12</x:f>
        <x:v>0</x:v>
      </x:c>
      <x:c r="G12" t="str">
        <x:f>IF(ABS(F12)&lt;0.000001,"OK","A CORRIGER")</x:f>
        <x:v>OK</x:v>
      </x:c>
    </x:row>
    <x:row r="13">
      <x:c r="A13" t="inlineStr">
        <x:is>
          <x:t xml:space="preserve">Critère</x:t>
        </x:is>
      </x:c>
      <x:c r="B13" t="inlineStr">
        <x:is>
          <x:t xml:space="preserve">D1_C1</x:t>
        </x:is>
      </x:c>
      <x:c r="C13" t="inlineStr">
        <x:is>
          <x:t xml:space="preserve">Sponsor Strength &amp; Commitment</x:t>
        </x:is>
      </x:c>
      <x:c r="D13" s="9">
        <x:f>SUMIF(PARAM_SOUS_CRITERES!A:A,B13,PARAM_SOUS_CRITERES!D:D)</x:f>
        <x:v>1</x:v>
      </x:c>
      <x:c r="E13" s="9" t="n">
        <x:v>1</x:v>
      </x:c>
      <x:c r="F13" s="9">
        <x:f>D13-E13</x:f>
        <x:v>0</x:v>
      </x:c>
      <x:c r="G13" t="str">
        <x:f>IF(ABS(F13)&lt;0.000001,"OK","A CORRIGER")</x:f>
        <x:v>OK</x:v>
      </x:c>
    </x:row>
    <x:row r="14">
      <x:c r="A14" t="inlineStr">
        <x:is>
          <x:t xml:space="preserve">Critère</x:t>
        </x:is>
      </x:c>
      <x:c r="B14" t="inlineStr">
        <x:is>
          <x:t xml:space="preserve">D1_C2</x:t>
        </x:is>
      </x:c>
      <x:c r="C14" t="inlineStr">
        <x:is>
          <x:t xml:space="preserve">Track Record</x:t>
        </x:is>
      </x:c>
      <x:c r="D14" s="9">
        <x:f>SUMIF(PARAM_SOUS_CRITERES!A:A,B14,PARAM_SOUS_CRITERES!D:D)</x:f>
        <x:v>1</x:v>
      </x:c>
      <x:c r="E14" s="9" t="n">
        <x:v>1</x:v>
      </x:c>
      <x:c r="F14" s="9">
        <x:f>D14-E14</x:f>
        <x:v>0</x:v>
      </x:c>
      <x:c r="G14" t="str">
        <x:f>IF(ABS(F14)&lt;0.000001,"OK","A CORRIGER")</x:f>
        <x:v>OK</x:v>
      </x:c>
    </x:row>
    <x:row r="15">
      <x:c r="A15" t="inlineStr">
        <x:is>
          <x:t xml:space="preserve">Critère</x:t>
        </x:is>
      </x:c>
      <x:c r="B15" t="inlineStr">
        <x:is>
          <x:t xml:space="preserve">D1_C3</x:t>
        </x:is>
      </x:c>
      <x:c r="C15" t="inlineStr">
        <x:is>
          <x:t xml:space="preserve">Governance &amp; Transparency</x:t>
        </x:is>
      </x:c>
      <x:c r="D15" s="9">
        <x:f>SUMIF(PARAM_SOUS_CRITERES!A:A,B15,PARAM_SOUS_CRITERES!D:D)</x:f>
        <x:v>1</x:v>
      </x:c>
      <x:c r="E15" s="9" t="n">
        <x:v>1</x:v>
      </x:c>
      <x:c r="F15" s="9">
        <x:f>D15-E15</x:f>
        <x:v>0</x:v>
      </x:c>
      <x:c r="G15" t="str">
        <x:f>IF(ABS(F15)&lt;0.000001,"OK","A CORRIGER")</x:f>
        <x:v>OK</x:v>
      </x:c>
    </x:row>
    <x:row r="16">
      <x:c r="A16" t="inlineStr">
        <x:is>
          <x:t xml:space="preserve">Critère</x:t>
        </x:is>
      </x:c>
      <x:c r="B16" t="inlineStr">
        <x:is>
          <x:t xml:space="preserve">D2_C1</x:t>
        </x:is>
      </x:c>
      <x:c r="C16" t="inlineStr">
        <x:is>
          <x:t xml:space="preserve">Market &amp; Strategic Positioning</x:t>
        </x:is>
      </x:c>
      <x:c r="D16" s="9">
        <x:f>SUMIF(PARAM_SOUS_CRITERES!A:A,B16,PARAM_SOUS_CRITERES!D:D)</x:f>
        <x:v>1</x:v>
      </x:c>
      <x:c r="E16" s="9" t="n">
        <x:v>1</x:v>
      </x:c>
      <x:c r="F16" s="9">
        <x:f>D16-E16</x:f>
        <x:v>0</x:v>
      </x:c>
      <x:c r="G16" t="str">
        <x:f>IF(ABS(F16)&lt;0.000001,"OK","A CORRIGER")</x:f>
        <x:v>OK</x:v>
      </x:c>
    </x:row>
    <x:row r="17">
      <x:c r="A17" t="inlineStr">
        <x:is>
          <x:t xml:space="preserve">Critère</x:t>
        </x:is>
      </x:c>
      <x:c r="B17" t="inlineStr">
        <x:is>
          <x:t xml:space="preserve">D2_C2</x:t>
        </x:is>
      </x:c>
      <x:c r="C17" t="inlineStr">
        <x:is>
          <x:t xml:space="preserve">Technical &amp; Site Fundamentals</x:t>
        </x:is>
      </x:c>
      <x:c r="D17" s="9">
        <x:f>SUMIF(PARAM_SOUS_CRITERES!A:A,B17,PARAM_SOUS_CRITERES!D:D)</x:f>
        <x:v>1</x:v>
      </x:c>
      <x:c r="E17" s="9" t="n">
        <x:v>1</x:v>
      </x:c>
      <x:c r="F17" s="9">
        <x:f>D17-E17</x:f>
        <x:v>0</x:v>
      </x:c>
      <x:c r="G17" t="str">
        <x:f>IF(ABS(F17)&lt;0.000001,"OK","A CORRIGER")</x:f>
        <x:v>OK</x:v>
      </x:c>
    </x:row>
    <x:row r="18">
      <x:c r="A18" t="inlineStr">
        <x:is>
          <x:t xml:space="preserve">Critère</x:t>
        </x:is>
      </x:c>
      <x:c r="B18" t="inlineStr">
        <x:is>
          <x:t xml:space="preserve">D2_C3</x:t>
        </x:is>
      </x:c>
      <x:c r="C18" t="inlineStr">
        <x:is>
          <x:t xml:space="preserve">Permits &amp; Readiness</x:t>
        </x:is>
      </x:c>
      <x:c r="D18" s="9">
        <x:f>SUMIF(PARAM_SOUS_CRITERES!A:A,B18,PARAM_SOUS_CRITERES!D:D)</x:f>
        <x:v>1</x:v>
      </x:c>
      <x:c r="E18" s="9" t="n">
        <x:v>1</x:v>
      </x:c>
      <x:c r="F18" s="9">
        <x:f>D18-E18</x:f>
        <x:v>0</x:v>
      </x:c>
      <x:c r="G18" t="str">
        <x:f>IF(ABS(F18)&lt;0.000001,"OK","A CORRIGER")</x:f>
        <x:v>OK</x:v>
      </x:c>
    </x:row>
    <x:row r="19">
      <x:c r="A19" t="inlineStr">
        <x:is>
          <x:t xml:space="preserve">Critère</x:t>
        </x:is>
      </x:c>
      <x:c r="B19" t="inlineStr">
        <x:is>
          <x:t xml:space="preserve">D3_C1</x:t>
        </x:is>
      </x:c>
      <x:c r="C19" t="inlineStr">
        <x:is>
          <x:t xml:space="preserve">EPC Completion Risk</x:t>
        </x:is>
      </x:c>
      <x:c r="D19" s="9">
        <x:f>SUMIF(PARAM_SOUS_CRITERES!A:A,B19,PARAM_SOUS_CRITERES!D:D)</x:f>
        <x:v>1</x:v>
      </x:c>
      <x:c r="E19" s="9" t="n">
        <x:v>1</x:v>
      </x:c>
      <x:c r="F19" s="9">
        <x:f>D19-E19</x:f>
        <x:v>0</x:v>
      </x:c>
      <x:c r="G19" t="str">
        <x:f>IF(ABS(F19)&lt;0.000001,"OK","A CORRIGER")</x:f>
        <x:v>OK</x:v>
      </x:c>
    </x:row>
    <x:row r="20">
      <x:c r="A20" t="inlineStr">
        <x:is>
          <x:t xml:space="preserve">Critère</x:t>
        </x:is>
      </x:c>
      <x:c r="B20" t="inlineStr">
        <x:is>
          <x:t xml:space="preserve">D3_C2</x:t>
        </x:is>
      </x:c>
      <x:c r="C20" t="inlineStr">
        <x:is>
          <x:t xml:space="preserve">Execution &amp; Interface Risk</x:t>
        </x:is>
      </x:c>
      <x:c r="D20" s="9">
        <x:f>SUMIF(PARAM_SOUS_CRITERES!A:A,B20,PARAM_SOUS_CRITERES!D:D)</x:f>
        <x:v>1</x:v>
      </x:c>
      <x:c r="E20" s="9" t="n">
        <x:v>1</x:v>
      </x:c>
      <x:c r="F20" s="9">
        <x:f>D20-E20</x:f>
        <x:v>0</x:v>
      </x:c>
      <x:c r="G20" t="str">
        <x:f>IF(ABS(F20)&lt;0.000001,"OK","A CORRIGER")</x:f>
        <x:v>OK</x:v>
      </x:c>
    </x:row>
    <x:row r="21">
      <x:c r="A21" t="inlineStr">
        <x:is>
          <x:t xml:space="preserve">Critère</x:t>
        </x:is>
      </x:c>
      <x:c r="B21" t="inlineStr">
        <x:is>
          <x:t xml:space="preserve">D3_C3</x:t>
        </x:is>
      </x:c>
      <x:c r="C21" t="inlineStr">
        <x:is>
          <x:t xml:space="preserve">Insurance &amp; HSE During Construction</x:t>
        </x:is>
      </x:c>
      <x:c r="D21" s="9">
        <x:f>SUMIF(PARAM_SOUS_CRITERES!A:A,B21,PARAM_SOUS_CRITERES!D:D)</x:f>
        <x:v>1</x:v>
      </x:c>
      <x:c r="E21" s="9" t="n">
        <x:v>1</x:v>
      </x:c>
      <x:c r="F21" s="9">
        <x:f>D21-E21</x:f>
        <x:v>0</x:v>
      </x:c>
      <x:c r="G21" t="str">
        <x:f>IF(ABS(F21)&lt;0.000001,"OK","A CORRIGER")</x:f>
        <x:v>OK</x:v>
      </x:c>
    </x:row>
    <x:row r="22">
      <x:c r="A22" t="inlineStr">
        <x:is>
          <x:t xml:space="preserve">Critère</x:t>
        </x:is>
      </x:c>
      <x:c r="B22" t="inlineStr">
        <x:is>
          <x:t xml:space="preserve">D4_C1</x:t>
        </x:is>
      </x:c>
      <x:c r="C22" t="inlineStr">
        <x:is>
          <x:t xml:space="preserve">Operations &amp; Maintenance</x:t>
        </x:is>
      </x:c>
      <x:c r="D22" s="9">
        <x:f>SUMIF(PARAM_SOUS_CRITERES!A:A,B22,PARAM_SOUS_CRITERES!D:D)</x:f>
        <x:v>1</x:v>
      </x:c>
      <x:c r="E22" s="9" t="n">
        <x:v>1</x:v>
      </x:c>
      <x:c r="F22" s="9">
        <x:f>D22-E22</x:f>
        <x:v>0</x:v>
      </x:c>
      <x:c r="G22" t="str">
        <x:f>IF(ABS(F22)&lt;0.000001,"OK","A CORRIGER")</x:f>
        <x:v>OK</x:v>
      </x:c>
    </x:row>
    <x:row r="23">
      <x:c r="A23" t="inlineStr">
        <x:is>
          <x:t xml:space="preserve">Critère</x:t>
        </x:is>
      </x:c>
      <x:c r="B23" t="inlineStr">
        <x:is>
          <x:t xml:space="preserve">D4_C2</x:t>
        </x:is>
      </x:c>
      <x:c r="C23" t="inlineStr">
        <x:is>
          <x:t xml:space="preserve">Operational Resilience</x:t>
        </x:is>
      </x:c>
      <x:c r="D23" s="9">
        <x:f>SUMIF(PARAM_SOUS_CRITERES!A:A,B23,PARAM_SOUS_CRITERES!D:D)</x:f>
        <x:v>1</x:v>
      </x:c>
      <x:c r="E23" s="9" t="n">
        <x:v>1</x:v>
      </x:c>
      <x:c r="F23" s="9">
        <x:f>D23-E23</x:f>
        <x:v>0</x:v>
      </x:c>
      <x:c r="G23" t="str">
        <x:f>IF(ABS(F23)&lt;0.000001,"OK","A CORRIGER")</x:f>
        <x:v>OK</x:v>
      </x:c>
    </x:row>
    <x:row r="24">
      <x:c r="A24" t="inlineStr">
        <x:is>
          <x:t xml:space="preserve">Critère</x:t>
        </x:is>
      </x:c>
      <x:c r="B24" t="inlineStr">
        <x:is>
          <x:t xml:space="preserve">D4_C3</x:t>
        </x:is>
      </x:c>
      <x:c r="C24" t="inlineStr">
        <x:is>
          <x:t xml:space="preserve">Operational Insurance</x:t>
        </x:is>
      </x:c>
      <x:c r="D24" s="9">
        <x:f>SUMIF(PARAM_SOUS_CRITERES!A:A,B24,PARAM_SOUS_CRITERES!D:D)</x:f>
        <x:v>1</x:v>
      </x:c>
      <x:c r="E24" s="9" t="n">
        <x:v>1</x:v>
      </x:c>
      <x:c r="F24" s="9">
        <x:f>D24-E24</x:f>
        <x:v>0</x:v>
      </x:c>
      <x:c r="G24" t="str">
        <x:f>IF(ABS(F24)&lt;0.000001,"OK","A CORRIGER")</x:f>
        <x:v>OK</x:v>
      </x:c>
    </x:row>
    <x:row r="25">
      <x:c r="A25" t="inlineStr">
        <x:is>
          <x:t xml:space="preserve">Critère</x:t>
        </x:is>
      </x:c>
      <x:c r="B25" t="inlineStr">
        <x:is>
          <x:t xml:space="preserve">D5_C1</x:t>
        </x:is>
      </x:c>
      <x:c r="C25" t="inlineStr">
        <x:is>
          <x:t xml:space="preserve">Leverage &amp; Capital Structure</x:t>
        </x:is>
      </x:c>
      <x:c r="D25" s="9">
        <x:f>SUMIF(PARAM_SOUS_CRITERES!A:A,B25,PARAM_SOUS_CRITERES!D:D)</x:f>
        <x:v>1</x:v>
      </x:c>
      <x:c r="E25" s="9" t="n">
        <x:v>1</x:v>
      </x:c>
      <x:c r="F25" s="9">
        <x:f>D25-E25</x:f>
        <x:v>0</x:v>
      </x:c>
      <x:c r="G25" t="str">
        <x:f>IF(ABS(F25)&lt;0.000001,"OK","A CORRIGER")</x:f>
        <x:v>OK</x:v>
      </x:c>
    </x:row>
    <x:row r="26">
      <x:c r="A26" t="inlineStr">
        <x:is>
          <x:t xml:space="preserve">Critère</x:t>
        </x:is>
      </x:c>
      <x:c r="B26" t="inlineStr">
        <x:is>
          <x:t xml:space="preserve">D5_C2</x:t>
        </x:is>
      </x:c>
      <x:c r="C26" t="inlineStr">
        <x:is>
          <x:t xml:space="preserve">Cash Flow Coverage</x:t>
        </x:is>
      </x:c>
      <x:c r="D26" s="9">
        <x:f>SUMIF(PARAM_SOUS_CRITERES!A:A,B26,PARAM_SOUS_CRITERES!D:D)</x:f>
        <x:v>1</x:v>
      </x:c>
      <x:c r="E26" s="9" t="n">
        <x:v>1</x:v>
      </x:c>
      <x:c r="F26" s="9">
        <x:f>D26-E26</x:f>
        <x:v>0</x:v>
      </x:c>
      <x:c r="G26" t="str">
        <x:f>IF(ABS(F26)&lt;0.000001,"OK","A CORRIGER")</x:f>
        <x:v>OK</x:v>
      </x:c>
    </x:row>
    <x:row r="27">
      <x:c r="A27" t="inlineStr">
        <x:is>
          <x:t xml:space="preserve">Critère</x:t>
        </x:is>
      </x:c>
      <x:c r="B27" t="inlineStr">
        <x:is>
          <x:t xml:space="preserve">D5_C3</x:t>
        </x:is>
      </x:c>
      <x:c r="C27" t="inlineStr">
        <x:is>
          <x:t xml:space="preserve">Financial Flexibility &amp; Covenants</x:t>
        </x:is>
      </x:c>
      <x:c r="D27" s="9">
        <x:f>SUMIF(PARAM_SOUS_CRITERES!A:A,B27,PARAM_SOUS_CRITERES!D:D)</x:f>
        <x:v>1</x:v>
      </x:c>
      <x:c r="E27" s="9" t="n">
        <x:v>1</x:v>
      </x:c>
      <x:c r="F27" s="9">
        <x:f>D27-E27</x:f>
        <x:v>0</x:v>
      </x:c>
      <x:c r="G27" t="str">
        <x:f>IF(ABS(F27)&lt;0.000001,"OK","A CORRIGER")</x:f>
        <x:v>OK</x:v>
      </x:c>
    </x:row>
    <x:row r="28">
      <x:c r="A28" t="inlineStr">
        <x:is>
          <x:t xml:space="preserve">Critère</x:t>
        </x:is>
      </x:c>
      <x:c r="B28" t="inlineStr">
        <x:is>
          <x:t xml:space="preserve">D6_C1</x:t>
        </x:is>
      </x:c>
      <x:c r="C28" t="inlineStr">
        <x:is>
          <x:t xml:space="preserve">Revenue Quality</x:t>
        </x:is>
      </x:c>
      <x:c r="D28" s="9">
        <x:f>SUMIF(PARAM_SOUS_CRITERES!A:A,B28,PARAM_SOUS_CRITERES!D:D)</x:f>
        <x:v>1</x:v>
      </x:c>
      <x:c r="E28" s="9" t="n">
        <x:v>1</x:v>
      </x:c>
      <x:c r="F28" s="9">
        <x:f>D28-E28</x:f>
        <x:v>0</x:v>
      </x:c>
      <x:c r="G28" t="str">
        <x:f>IF(ABS(F28)&lt;0.000001,"OK","A CORRIGER")</x:f>
        <x:v>OK</x:v>
      </x:c>
    </x:row>
    <x:row r="29">
      <x:c r="A29" t="inlineStr">
        <x:is>
          <x:t xml:space="preserve">Critère</x:t>
        </x:is>
      </x:c>
      <x:c r="B29" t="inlineStr">
        <x:is>
          <x:t xml:space="preserve">D6_C2</x:t>
        </x:is>
      </x:c>
      <x:c r="C29" t="inlineStr">
        <x:is>
          <x:t xml:space="preserve">Contractual Robustness</x:t>
        </x:is>
      </x:c>
      <x:c r="D29" s="9">
        <x:f>SUMIF(PARAM_SOUS_CRITERES!A:A,B29,PARAM_SOUS_CRITERES!D:D)</x:f>
        <x:v>1</x:v>
      </x:c>
      <x:c r="E29" s="9" t="n">
        <x:v>1</x:v>
      </x:c>
      <x:c r="F29" s="9">
        <x:f>D29-E29</x:f>
        <x:v>0</x:v>
      </x:c>
      <x:c r="G29" t="str">
        <x:f>IF(ABS(F29)&lt;0.000001,"OK","A CORRIGER")</x:f>
        <x:v>OK</x:v>
      </x:c>
    </x:row>
    <x:row r="30">
      <x:c r="A30" t="inlineStr">
        <x:is>
          <x:t xml:space="preserve">Critère</x:t>
        </x:is>
      </x:c>
      <x:c r="B30" t="inlineStr">
        <x:is>
          <x:t xml:space="preserve">D6_C3</x:t>
        </x:is>
      </x:c>
      <x:c r="C30" t="inlineStr">
        <x:is>
          <x:t xml:space="preserve">Supply Contracts</x:t>
        </x:is>
      </x:c>
      <x:c r="D30" s="9">
        <x:f>SUMIF(PARAM_SOUS_CRITERES!A:A,B30,PARAM_SOUS_CRITERES!D:D)</x:f>
        <x:v>1</x:v>
      </x:c>
      <x:c r="E30" s="9" t="n">
        <x:v>1</x:v>
      </x:c>
      <x:c r="F30" s="9">
        <x:f>D30-E30</x:f>
        <x:v>0</x:v>
      </x:c>
      <x:c r="G30" t="str">
        <x:f>IF(ABS(F30)&lt;0.000001,"OK","A CORRIGER")</x:f>
        <x:v>OK</x:v>
      </x:c>
    </x:row>
    <x:row r="31">
      <x:c r="A31" t="inlineStr">
        <x:is>
          <x:t xml:space="preserve">Critère</x:t>
        </x:is>
      </x:c>
      <x:c r="B31" t="inlineStr">
        <x:is>
          <x:t xml:space="preserve">D7_C1</x:t>
        </x:is>
      </x:c>
      <x:c r="C31" t="inlineStr">
        <x:is>
          <x:t xml:space="preserve">Allocation Efficiency</x:t>
        </x:is>
      </x:c>
      <x:c r="D31" s="9">
        <x:f>SUMIF(PARAM_SOUS_CRITERES!A:A,B31,PARAM_SOUS_CRITERES!D:D)</x:f>
        <x:v>1</x:v>
      </x:c>
      <x:c r="E31" s="9" t="n">
        <x:v>1</x:v>
      </x:c>
      <x:c r="F31" s="9">
        <x:f>D31-E31</x:f>
        <x:v>0</x:v>
      </x:c>
      <x:c r="G31" t="str">
        <x:f>IF(ABS(F31)&lt;0.000001,"OK","A CORRIGER")</x:f>
        <x:v>OK</x:v>
      </x:c>
    </x:row>
    <x:row r="32">
      <x:c r="A32" t="inlineStr">
        <x:is>
          <x:t xml:space="preserve">Critère</x:t>
        </x:is>
      </x:c>
      <x:c r="B32" t="inlineStr">
        <x:is>
          <x:t xml:space="preserve">D7_C2</x:t>
        </x:is>
      </x:c>
      <x:c r="C32" t="inlineStr">
        <x:is>
          <x:t xml:space="preserve">Residual Risk to Lenders</x:t>
        </x:is>
      </x:c>
      <x:c r="D32" s="9">
        <x:f>SUMIF(PARAM_SOUS_CRITERES!A:A,B32,PARAM_SOUS_CRITERES!D:D)</x:f>
        <x:v>1</x:v>
      </x:c>
      <x:c r="E32" s="9" t="n">
        <x:v>1</x:v>
      </x:c>
      <x:c r="F32" s="9">
        <x:f>D32-E32</x:f>
        <x:v>0</x:v>
      </x:c>
      <x:c r="G32" t="str">
        <x:f>IF(ABS(F32)&lt;0.000001,"OK","A CORRIGER")</x:f>
        <x:v>OK</x:v>
      </x:c>
    </x:row>
    <x:row r="33">
      <x:c r="A33" t="inlineStr">
        <x:is>
          <x:t xml:space="preserve">Critère</x:t>
        </x:is>
      </x:c>
      <x:c r="B33" t="inlineStr">
        <x:is>
          <x:t xml:space="preserve">D8_C1</x:t>
        </x:is>
      </x:c>
      <x:c r="C33" t="inlineStr">
        <x:is>
          <x:t xml:space="preserve">Documentation Completeness</x:t>
        </x:is>
      </x:c>
      <x:c r="D33" s="9">
        <x:f>SUMIF(PARAM_SOUS_CRITERES!A:A,B33,PARAM_SOUS_CRITERES!D:D)</x:f>
        <x:v>1</x:v>
      </x:c>
      <x:c r="E33" s="9" t="n">
        <x:v>1</x:v>
      </x:c>
      <x:c r="F33" s="9">
        <x:f>D33-E33</x:f>
        <x:v>0</x:v>
      </x:c>
      <x:c r="G33" t="str">
        <x:f>IF(ABS(F33)&lt;0.000001,"OK","A CORRIGER")</x:f>
        <x:v>OK</x:v>
      </x:c>
    </x:row>
    <x:row r="34">
      <x:c r="A34" t="inlineStr">
        <x:is>
          <x:t xml:space="preserve">Critère</x:t>
        </x:is>
      </x:c>
      <x:c r="B34" t="inlineStr">
        <x:is>
          <x:t xml:space="preserve">D8_C2</x:t>
        </x:is>
      </x:c>
      <x:c r="C34" t="inlineStr">
        <x:is>
          <x:t xml:space="preserve">Legal Robustness</x:t>
        </x:is>
      </x:c>
      <x:c r="D34" s="9">
        <x:f>SUMIF(PARAM_SOUS_CRITERES!A:A,B34,PARAM_SOUS_CRITERES!D:D)</x:f>
        <x:v>1</x:v>
      </x:c>
      <x:c r="E34" s="9" t="n">
        <x:v>1</x:v>
      </x:c>
      <x:c r="F34" s="9">
        <x:f>D34-E34</x:f>
        <x:v>0</x:v>
      </x:c>
      <x:c r="G34" t="str">
        <x:f>IF(ABS(F34)&lt;0.000001,"OK","A CORRIGER")</x:f>
        <x:v>OK</x:v>
      </x:c>
    </x:row>
    <x:row r="35">
      <x:c r="A35" t="inlineStr">
        <x:is>
          <x:t xml:space="preserve">Critère</x:t>
        </x:is>
      </x:c>
      <x:c r="B35" t="inlineStr">
        <x:is>
          <x:t xml:space="preserve">D8_C3</x:t>
        </x:is>
      </x:c>
      <x:c r="C35" t="inlineStr">
        <x:is>
          <x:t xml:space="preserve">Regulatory Compliance</x:t>
        </x:is>
      </x:c>
      <x:c r="D35" s="9">
        <x:f>SUMIF(PARAM_SOUS_CRITERES!A:A,B35,PARAM_SOUS_CRITERES!D:D)</x:f>
        <x:v>1</x:v>
      </x:c>
      <x:c r="E35" s="9" t="n">
        <x:v>1</x:v>
      </x:c>
      <x:c r="F35" s="9">
        <x:f>D35-E35</x:f>
        <x:v>0</x:v>
      </x:c>
      <x:c r="G35" t="str">
        <x:f>IF(ABS(F35)&lt;0.000001,"OK","A CORRIGER")</x:f>
        <x:v>OK</x:v>
      </x:c>
    </x:row>
    <x:row r="36">
      <x:c r="A36" t="inlineStr">
        <x:is>
          <x:t xml:space="preserve">Critère</x:t>
        </x:is>
      </x:c>
      <x:c r="B36" t="inlineStr">
        <x:is>
          <x:t xml:space="preserve">D9_C1</x:t>
        </x:is>
      </x:c>
      <x:c r="C36" t="inlineStr">
        <x:is>
          <x:t xml:space="preserve">Environmental &amp; Climate Exposure</x:t>
        </x:is>
      </x:c>
      <x:c r="D36" s="9">
        <x:f>SUMIF(PARAM_SOUS_CRITERES!A:A,B36,PARAM_SOUS_CRITERES!D:D)</x:f>
        <x:v>1</x:v>
      </x:c>
      <x:c r="E36" s="9" t="n">
        <x:v>1</x:v>
      </x:c>
      <x:c r="F36" s="9">
        <x:f>D36-E36</x:f>
        <x:v>0</x:v>
      </x:c>
      <x:c r="G36" t="str">
        <x:f>IF(ABS(F36)&lt;0.000001,"OK","A CORRIGER")</x:f>
        <x:v>OK</x:v>
      </x:c>
    </x:row>
    <x:row r="37">
      <x:c r="A37" t="inlineStr">
        <x:is>
          <x:t xml:space="preserve">Critère</x:t>
        </x:is>
      </x:c>
      <x:c r="B37" t="inlineStr">
        <x:is>
          <x:t xml:space="preserve">D9_C2</x:t>
        </x:is>
      </x:c>
      <x:c r="C37" t="inlineStr">
        <x:is>
          <x:t xml:space="preserve">Social &amp; Stakeholder Risk</x:t>
        </x:is>
      </x:c>
      <x:c r="D37" s="9">
        <x:f>SUMIF(PARAM_SOUS_CRITERES!A:A,B37,PARAM_SOUS_CRITERES!D:D)</x:f>
        <x:v>1</x:v>
      </x:c>
      <x:c r="E37" s="9" t="n">
        <x:v>1</x:v>
      </x:c>
      <x:c r="F37" s="9">
        <x:f>D37-E37</x:f>
        <x:v>0</x:v>
      </x:c>
      <x:c r="G37" t="str">
        <x:f>IF(ABS(F37)&lt;0.000001,"OK","A CORRIGER")</x:f>
        <x:v>OK</x:v>
      </x:c>
    </x:row>
    <x:row r="38">
      <x:c r="A38" t="inlineStr">
        <x:is>
          <x:t xml:space="preserve">Critère</x:t>
        </x:is>
      </x:c>
      <x:c r="B38" t="inlineStr">
        <x:is>
          <x:t xml:space="preserve">D9_C3</x:t>
        </x:is>
      </x:c>
      <x:c r="C38" t="inlineStr">
        <x:is>
          <x:t xml:space="preserve">ESG Governance</x:t>
        </x:is>
      </x:c>
      <x:c r="D38" s="9">
        <x:f>SUMIF(PARAM_SOUS_CRITERES!A:A,B38,PARAM_SOUS_CRITERES!D:D)</x:f>
        <x:v>1</x:v>
      </x:c>
      <x:c r="E38" s="9" t="n">
        <x:v>1</x:v>
      </x:c>
      <x:c r="F38" s="9">
        <x:f>D38-E38</x:f>
        <x:v>0</x:v>
      </x:c>
      <x:c r="G38" t="str">
        <x:f>IF(ABS(F38)&lt;0.000001,"OK","A CORRIGER")</x:f>
        <x:v>OK</x:v>
      </x:c>
    </x:row>
    <x:row r="39">
      <x:c r="A39" t="inlineStr">
        <x:is>
          <x:t xml:space="preserve">Sous-critère</x:t>
        </x:is>
      </x:c>
      <x:c r="B39" t="inlineStr">
        <x:is>
          <x:t xml:space="preserve">D1_SC1</x:t>
        </x:is>
      </x:c>
      <x:c r="C39" t="inlineStr">
        <x:is>
          <x:t xml:space="preserve">Shareholding &amp; support</x:t>
        </x:is>
      </x:c>
      <x:c r="D39" s="9">
        <x:f>SUMIF(PARAM_SOUS_SOUS_CRITERES!A:A,B39,PARAM_SOUS_SOUS_CRITERES!D:D)</x:f>
        <x:v>1</x:v>
      </x:c>
      <x:c r="E39" s="9" t="n">
        <x:v>1</x:v>
      </x:c>
      <x:c r="F39" s="9">
        <x:f>D39-E39</x:f>
        <x:v>0</x:v>
      </x:c>
      <x:c r="G39" t="str">
        <x:f>IF(ABS(F39)&lt;0.000001,"OK","A CORRIGER")</x:f>
        <x:v>OK</x:v>
      </x:c>
    </x:row>
    <x:row r="40">
      <x:c r="A40" t="inlineStr">
        <x:is>
          <x:t xml:space="preserve">Sous-critère</x:t>
        </x:is>
      </x:c>
      <x:c r="B40" t="inlineStr">
        <x:is>
          <x:t xml:space="preserve">D1_SC2</x:t>
        </x:is>
      </x:c>
      <x:c r="C40" t="inlineStr">
        <x:is>
          <x:t xml:space="preserve">Financial capacity</x:t>
        </x:is>
      </x:c>
      <x:c r="D40" s="9">
        <x:f>SUMIF(PARAM_SOUS_SOUS_CRITERES!A:A,B40,PARAM_SOUS_SOUS_CRITERES!D:D)</x:f>
        <x:v>1</x:v>
      </x:c>
      <x:c r="E40" s="9" t="n">
        <x:v>1</x:v>
      </x:c>
      <x:c r="F40" s="9">
        <x:f>D40-E40</x:f>
        <x:v>0</x:v>
      </x:c>
      <x:c r="G40" t="str">
        <x:f>IF(ABS(F40)&lt;0.000001,"OK","A CORRIGER")</x:f>
        <x:v>OK</x:v>
      </x:c>
    </x:row>
    <x:row r="41">
      <x:c r="A41" t="inlineStr">
        <x:is>
          <x:t xml:space="preserve">Sous-critère</x:t>
        </x:is>
      </x:c>
      <x:c r="B41" t="inlineStr">
        <x:is>
          <x:t xml:space="preserve">D1_SC3</x:t>
        </x:is>
      </x:c>
      <x:c r="C41" t="inlineStr">
        <x:is>
          <x:t xml:space="preserve">Commitment</x:t>
        </x:is>
      </x:c>
      <x:c r="D41" s="9">
        <x:f>SUMIF(PARAM_SOUS_SOUS_CRITERES!A:A,B41,PARAM_SOUS_SOUS_CRITERES!D:D)</x:f>
        <x:v>1</x:v>
      </x:c>
      <x:c r="E41" s="9" t="n">
        <x:v>1</x:v>
      </x:c>
      <x:c r="F41" s="9">
        <x:f>D41-E41</x:f>
        <x:v>0</x:v>
      </x:c>
      <x:c r="G41" t="str">
        <x:f>IF(ABS(F41)&lt;0.000001,"OK","A CORRIGER")</x:f>
        <x:v>OK</x:v>
      </x:c>
    </x:row>
    <x:row r="42">
      <x:c r="A42" t="inlineStr">
        <x:is>
          <x:t xml:space="preserve">Sous-critère</x:t>
        </x:is>
      </x:c>
      <x:c r="B42" t="inlineStr">
        <x:is>
          <x:t xml:space="preserve">D1_SC4</x:t>
        </x:is>
      </x:c>
      <x:c r="C42" t="inlineStr">
        <x:is>
          <x:t xml:space="preserve">Project development experience</x:t>
        </x:is>
      </x:c>
      <x:c r="D42" s="9">
        <x:f>SUMIF(PARAM_SOUS_SOUS_CRITERES!A:A,B42,PARAM_SOUS_SOUS_CRITERES!D:D)</x:f>
        <x:v>1</x:v>
      </x:c>
      <x:c r="E42" s="9" t="n">
        <x:v>1</x:v>
      </x:c>
      <x:c r="F42" s="9">
        <x:f>D42-E42</x:f>
        <x:v>0</x:v>
      </x:c>
      <x:c r="G42" t="str">
        <x:f>IF(ABS(F42)&lt;0.000001,"OK","A CORRIGER")</x:f>
        <x:v>OK</x:v>
      </x:c>
    </x:row>
    <x:row r="43">
      <x:c r="A43" t="inlineStr">
        <x:is>
          <x:t xml:space="preserve">Sous-critère</x:t>
        </x:is>
      </x:c>
      <x:c r="B43" t="inlineStr">
        <x:is>
          <x:t xml:space="preserve">D1_SC5</x:t>
        </x:is>
      </x:c>
      <x:c r="C43" t="inlineStr">
        <x:is>
          <x:t xml:space="preserve">Operational track record</x:t>
        </x:is>
      </x:c>
      <x:c r="D43" s="9">
        <x:f>SUMIF(PARAM_SOUS_SOUS_CRITERES!A:A,B43,PARAM_SOUS_SOUS_CRITERES!D:D)</x:f>
        <x:v>1</x:v>
      </x:c>
      <x:c r="E43" s="9" t="n">
        <x:v>1</x:v>
      </x:c>
      <x:c r="F43" s="9">
        <x:f>D43-E43</x:f>
        <x:v>0</x:v>
      </x:c>
      <x:c r="G43" t="str">
        <x:f>IF(ABS(F43)&lt;0.000001,"OK","A CORRIGER")</x:f>
        <x:v>OK</x:v>
      </x:c>
    </x:row>
    <x:row r="44">
      <x:c r="A44" t="inlineStr">
        <x:is>
          <x:t xml:space="preserve">Sous-critère</x:t>
        </x:is>
      </x:c>
      <x:c r="B44" t="inlineStr">
        <x:is>
          <x:t xml:space="preserve">D1_SC6</x:t>
        </x:is>
      </x:c>
      <x:c r="C44" t="inlineStr">
        <x:is>
          <x:t xml:space="preserve">Governance framework</x:t>
        </x:is>
      </x:c>
      <x:c r="D44" s="9">
        <x:f>SUMIF(PARAM_SOUS_SOUS_CRITERES!A:A,B44,PARAM_SOUS_SOUS_CRITERES!D:D)</x:f>
        <x:v>1</x:v>
      </x:c>
      <x:c r="E44" s="9" t="n">
        <x:v>1</x:v>
      </x:c>
      <x:c r="F44" s="9">
        <x:f>D44-E44</x:f>
        <x:v>0</x:v>
      </x:c>
      <x:c r="G44" t="str">
        <x:f>IF(ABS(F44)&lt;0.000001,"OK","A CORRIGER")</x:f>
        <x:v>OK</x:v>
      </x:c>
    </x:row>
    <x:row r="45">
      <x:c r="A45" t="inlineStr">
        <x:is>
          <x:t xml:space="preserve">Sous-critère</x:t>
        </x:is>
      </x:c>
      <x:c r="B45" t="inlineStr">
        <x:is>
          <x:t xml:space="preserve">D1_SC7</x:t>
        </x:is>
      </x:c>
      <x:c r="C45" t="inlineStr">
        <x:is>
          <x:t xml:space="preserve">Transparency &amp; reporting</x:t>
        </x:is>
      </x:c>
      <x:c r="D45" s="9">
        <x:f>SUMIF(PARAM_SOUS_SOUS_CRITERES!A:A,B45,PARAM_SOUS_SOUS_CRITERES!D:D)</x:f>
        <x:v>1</x:v>
      </x:c>
      <x:c r="E45" s="9" t="n">
        <x:v>1</x:v>
      </x:c>
      <x:c r="F45" s="9">
        <x:f>D45-E45</x:f>
        <x:v>0</x:v>
      </x:c>
      <x:c r="G45" t="str">
        <x:f>IF(ABS(F45)&lt;0.000001,"OK","A CORRIGER")</x:f>
        <x:v>OK</x:v>
      </x:c>
    </x:row>
    <x:row r="46">
      <x:c r="A46" t="inlineStr">
        <x:is>
          <x:t xml:space="preserve">Sous-critère</x:t>
        </x:is>
      </x:c>
      <x:c r="B46" t="inlineStr">
        <x:is>
          <x:t xml:space="preserve">D2_SC1</x:t>
        </x:is>
      </x:c>
      <x:c r="C46" t="inlineStr">
        <x:is>
          <x:t xml:space="preserve">Demand fundamentals</x:t>
        </x:is>
      </x:c>
      <x:c r="D46" s="9">
        <x:f>SUMIF(PARAM_SOUS_SOUS_CRITERES!A:A,B46,PARAM_SOUS_SOUS_CRITERES!D:D)</x:f>
        <x:v>1</x:v>
      </x:c>
      <x:c r="E46" s="9" t="n">
        <x:v>1</x:v>
      </x:c>
      <x:c r="F46" s="9">
        <x:f>D46-E46</x:f>
        <x:v>0</x:v>
      </x:c>
      <x:c r="G46" t="str">
        <x:f>IF(ABS(F46)&lt;0.000001,"OK","A CORRIGER")</x:f>
        <x:v>OK</x:v>
      </x:c>
    </x:row>
    <x:row r="47">
      <x:c r="A47" t="inlineStr">
        <x:is>
          <x:t xml:space="preserve">Sous-critère</x:t>
        </x:is>
      </x:c>
      <x:c r="B47" t="inlineStr">
        <x:is>
          <x:t xml:space="preserve">D2_SC2</x:t>
        </x:is>
      </x:c>
      <x:c r="C47" t="inlineStr">
        <x:is>
          <x:t xml:space="preserve">Competitive position</x:t>
        </x:is>
      </x:c>
      <x:c r="D47" s="9">
        <x:f>SUMIF(PARAM_SOUS_SOUS_CRITERES!A:A,B47,PARAM_SOUS_SOUS_CRITERES!D:D)</x:f>
        <x:v>1</x:v>
      </x:c>
      <x:c r="E47" s="9" t="n">
        <x:v>1</x:v>
      </x:c>
      <x:c r="F47" s="9">
        <x:f>D47-E47</x:f>
        <x:v>0</x:v>
      </x:c>
      <x:c r="G47" t="str">
        <x:f>IF(ABS(F47)&lt;0.000001,"OK","A CORRIGER")</x:f>
        <x:v>OK</x:v>
      </x:c>
    </x:row>
    <x:row r="48">
      <x:c r="A48" t="inlineStr">
        <x:is>
          <x:t xml:space="preserve">Sous-critère</x:t>
        </x:is>
      </x:c>
      <x:c r="B48" t="inlineStr">
        <x:is>
          <x:t xml:space="preserve">D2_SC3</x:t>
        </x:is>
      </x:c>
      <x:c r="C48" t="inlineStr">
        <x:is>
          <x:t xml:space="preserve">Strategic relevance</x:t>
        </x:is>
      </x:c>
      <x:c r="D48" s="9">
        <x:f>SUMIF(PARAM_SOUS_SOUS_CRITERES!A:A,B48,PARAM_SOUS_SOUS_CRITERES!D:D)</x:f>
        <x:v>1</x:v>
      </x:c>
      <x:c r="E48" s="9" t="n">
        <x:v>1</x:v>
      </x:c>
      <x:c r="F48" s="9">
        <x:f>D48-E48</x:f>
        <x:v>0</x:v>
      </x:c>
      <x:c r="G48" t="str">
        <x:f>IF(ABS(F48)&lt;0.000001,"OK","A CORRIGER")</x:f>
        <x:v>OK</x:v>
      </x:c>
    </x:row>
    <x:row r="49">
      <x:c r="A49" t="inlineStr">
        <x:is>
          <x:t xml:space="preserve">Sous-critère</x:t>
        </x:is>
      </x:c>
      <x:c r="B49" t="inlineStr">
        <x:is>
          <x:t xml:space="preserve">D2_SC4</x:t>
        </x:is>
      </x:c>
      <x:c r="C49" t="inlineStr">
        <x:is>
          <x:t xml:space="preserve">Technology</x:t>
        </x:is>
      </x:c>
      <x:c r="D49" s="9">
        <x:f>SUMIF(PARAM_SOUS_SOUS_CRITERES!A:A,B49,PARAM_SOUS_SOUS_CRITERES!D:D)</x:f>
        <x:v>1</x:v>
      </x:c>
      <x:c r="E49" s="9" t="n">
        <x:v>1</x:v>
      </x:c>
      <x:c r="F49" s="9">
        <x:f>D49-E49</x:f>
        <x:v>0</x:v>
      </x:c>
      <x:c r="G49" t="str">
        <x:f>IF(ABS(F49)&lt;0.000001,"OK","A CORRIGER")</x:f>
        <x:v>OK</x:v>
      </x:c>
    </x:row>
    <x:row r="50">
      <x:c r="A50" t="inlineStr">
        <x:is>
          <x:t xml:space="preserve">Sous-critère</x:t>
        </x:is>
      </x:c>
      <x:c r="B50" t="inlineStr">
        <x:is>
          <x:t xml:space="preserve">D2_SC5</x:t>
        </x:is>
      </x:c>
      <x:c r="C50" t="inlineStr">
        <x:is>
          <x:t xml:space="preserve">Site &amp; location</x:t>
        </x:is>
      </x:c>
      <x:c r="D50" s="9">
        <x:f>SUMIF(PARAM_SOUS_SOUS_CRITERES!A:A,B50,PARAM_SOUS_SOUS_CRITERES!D:D)</x:f>
        <x:v>1</x:v>
      </x:c>
      <x:c r="E50" s="9" t="n">
        <x:v>1</x:v>
      </x:c>
      <x:c r="F50" s="9">
        <x:f>D50-E50</x:f>
        <x:v>0</x:v>
      </x:c>
      <x:c r="G50" t="str">
        <x:f>IF(ABS(F50)&lt;0.000001,"OK","A CORRIGER")</x:f>
        <x:v>OK</x:v>
      </x:c>
    </x:row>
    <x:row r="51">
      <x:c r="A51" t="inlineStr">
        <x:is>
          <x:t xml:space="preserve">Sous-critère</x:t>
        </x:is>
      </x:c>
      <x:c r="B51" t="inlineStr">
        <x:is>
          <x:t xml:space="preserve">D2_SC6</x:t>
        </x:is>
      </x:c>
      <x:c r="C51" t="inlineStr">
        <x:is>
          <x:t xml:space="preserve">Inputs availability</x:t>
        </x:is>
      </x:c>
      <x:c r="D51" s="9">
        <x:f>SUMIF(PARAM_SOUS_SOUS_CRITERES!A:A,B51,PARAM_SOUS_SOUS_CRITERES!D:D)</x:f>
        <x:v>1</x:v>
      </x:c>
      <x:c r="E51" s="9" t="n">
        <x:v>1</x:v>
      </x:c>
      <x:c r="F51" s="9">
        <x:f>D51-E51</x:f>
        <x:v>0</x:v>
      </x:c>
      <x:c r="G51" t="str">
        <x:f>IF(ABS(F51)&lt;0.000001,"OK","A CORRIGER")</x:f>
        <x:v>OK</x:v>
      </x:c>
    </x:row>
    <x:row r="52">
      <x:c r="A52" t="inlineStr">
        <x:is>
          <x:t xml:space="preserve">Sous-critère</x:t>
        </x:is>
      </x:c>
      <x:c r="B52" t="inlineStr">
        <x:is>
          <x:t xml:space="preserve">D2_SC7</x:t>
        </x:is>
      </x:c>
      <x:c r="C52" t="inlineStr">
        <x:is>
          <x:t xml:space="preserve">Authorizations</x:t>
        </x:is>
      </x:c>
      <x:c r="D52" s="9">
        <x:f>SUMIF(PARAM_SOUS_SOUS_CRITERES!A:A,B52,PARAM_SOUS_SOUS_CRITERES!D:D)</x:f>
        <x:v>1</x:v>
      </x:c>
      <x:c r="E52" s="9" t="n">
        <x:v>1</x:v>
      </x:c>
      <x:c r="F52" s="9">
        <x:f>D52-E52</x:f>
        <x:v>0</x:v>
      </x:c>
      <x:c r="G52" t="str">
        <x:f>IF(ABS(F52)&lt;0.000001,"OK","A CORRIGER")</x:f>
        <x:v>OK</x:v>
      </x:c>
    </x:row>
    <x:row r="53">
      <x:c r="A53" t="inlineStr">
        <x:is>
          <x:t xml:space="preserve">Sous-critère</x:t>
        </x:is>
      </x:c>
      <x:c r="B53" t="inlineStr">
        <x:is>
          <x:t xml:space="preserve">D2_SC8</x:t>
        </x:is>
      </x:c>
      <x:c r="C53" t="inlineStr">
        <x:is>
          <x:t xml:space="preserve">Project readiness</x:t>
        </x:is>
      </x:c>
      <x:c r="D53" s="9">
        <x:f>SUMIF(PARAM_SOUS_SOUS_CRITERES!A:A,B53,PARAM_SOUS_SOUS_CRITERES!D:D)</x:f>
        <x:v>1</x:v>
      </x:c>
      <x:c r="E53" s="9" t="n">
        <x:v>1</x:v>
      </x:c>
      <x:c r="F53" s="9">
        <x:f>D53-E53</x:f>
        <x:v>0</x:v>
      </x:c>
      <x:c r="G53" t="str">
        <x:f>IF(ABS(F53)&lt;0.000001,"OK","A CORRIGER")</x:f>
        <x:v>OK</x:v>
      </x:c>
    </x:row>
    <x:row r="54">
      <x:c r="A54" t="inlineStr">
        <x:is>
          <x:t xml:space="preserve">Sous-critère</x:t>
        </x:is>
      </x:c>
      <x:c r="B54" t="inlineStr">
        <x:is>
          <x:t xml:space="preserve">D3_SC1</x:t>
        </x:is>
      </x:c>
      <x:c r="C54" t="inlineStr">
        <x:is>
          <x:t xml:space="preserve">EPC contract structure</x:t>
        </x:is>
      </x:c>
      <x:c r="D54" s="9">
        <x:f>SUMIF(PARAM_SOUS_SOUS_CRITERES!A:A,B54,PARAM_SOUS_SOUS_CRITERES!D:D)</x:f>
        <x:v>1</x:v>
      </x:c>
      <x:c r="E54" s="9" t="n">
        <x:v>1</x:v>
      </x:c>
      <x:c r="F54" s="9">
        <x:f>D54-E54</x:f>
        <x:v>0</x:v>
      </x:c>
      <x:c r="G54" t="str">
        <x:f>IF(ABS(F54)&lt;0.000001,"OK","A CORRIGER")</x:f>
        <x:v>OK</x:v>
      </x:c>
    </x:row>
    <x:row r="55">
      <x:c r="A55" t="inlineStr">
        <x:is>
          <x:t xml:space="preserve">Sous-critère</x:t>
        </x:is>
      </x:c>
      <x:c r="B55" t="inlineStr">
        <x:is>
          <x:t xml:space="preserve">D3_SC2</x:t>
        </x:is>
      </x:c>
      <x:c r="C55" t="inlineStr">
        <x:is>
          <x:t xml:space="preserve">EPC contractor quality</x:t>
        </x:is>
      </x:c>
      <x:c r="D55" s="9">
        <x:f>SUMIF(PARAM_SOUS_SOUS_CRITERES!A:A,B55,PARAM_SOUS_SOUS_CRITERES!D:D)</x:f>
        <x:v>1</x:v>
      </x:c>
      <x:c r="E55" s="9" t="n">
        <x:v>1</x:v>
      </x:c>
      <x:c r="F55" s="9">
        <x:f>D55-E55</x:f>
        <x:v>0</x:v>
      </x:c>
      <x:c r="G55" t="str">
        <x:f>IF(ABS(F55)&lt;0.000001,"OK","A CORRIGER")</x:f>
        <x:v>OK</x:v>
      </x:c>
    </x:row>
    <x:row r="56">
      <x:c r="A56" t="inlineStr">
        <x:is>
          <x:t xml:space="preserve">Sous-critère</x:t>
        </x:is>
      </x:c>
      <x:c r="B56" t="inlineStr">
        <x:is>
          <x:t xml:space="preserve">D3_SC3</x:t>
        </x:is>
      </x:c>
      <x:c r="C56" t="inlineStr">
        <x:is>
          <x:t xml:space="preserve">Completion support</x:t>
        </x:is>
      </x:c>
      <x:c r="D56" s="9">
        <x:f>SUMIF(PARAM_SOUS_SOUS_CRITERES!A:A,B56,PARAM_SOUS_SOUS_CRITERES!D:D)</x:f>
        <x:v>1</x:v>
      </x:c>
      <x:c r="E56" s="9" t="n">
        <x:v>1</x:v>
      </x:c>
      <x:c r="F56" s="9">
        <x:f>D56-E56</x:f>
        <x:v>0</x:v>
      </x:c>
      <x:c r="G56" t="str">
        <x:f>IF(ABS(F56)&lt;0.000001,"OK","A CORRIGER")</x:f>
        <x:v>OK</x:v>
      </x:c>
    </x:row>
    <x:row r="57">
      <x:c r="A57" t="inlineStr">
        <x:is>
          <x:t xml:space="preserve">Sous-critère</x:t>
        </x:is>
      </x:c>
      <x:c r="B57" t="inlineStr">
        <x:is>
          <x:t xml:space="preserve">D3_SC4</x:t>
        </x:is>
      </x:c>
      <x:c r="C57" t="inlineStr">
        <x:is>
          <x:t xml:space="preserve">Schedule risk</x:t>
        </x:is>
      </x:c>
      <x:c r="D57" s="9">
        <x:f>SUMIF(PARAM_SOUS_SOUS_CRITERES!A:A,B57,PARAM_SOUS_SOUS_CRITERES!D:D)</x:f>
        <x:v>1</x:v>
      </x:c>
      <x:c r="E57" s="9" t="n">
        <x:v>1</x:v>
      </x:c>
      <x:c r="F57" s="9">
        <x:f>D57-E57</x:f>
        <x:v>0</x:v>
      </x:c>
      <x:c r="G57" t="str">
        <x:f>IF(ABS(F57)&lt;0.000001,"OK","A CORRIGER")</x:f>
        <x:v>OK</x:v>
      </x:c>
    </x:row>
    <x:row r="58">
      <x:c r="A58" t="inlineStr">
        <x:is>
          <x:t xml:space="preserve">Sous-critère</x:t>
        </x:is>
      </x:c>
      <x:c r="B58" t="inlineStr">
        <x:is>
          <x:t xml:space="preserve">D3_SC5</x:t>
        </x:is>
      </x:c>
      <x:c r="C58" t="inlineStr">
        <x:is>
          <x:t xml:space="preserve">Cost overrun risk</x:t>
        </x:is>
      </x:c>
      <x:c r="D58" s="9">
        <x:f>SUMIF(PARAM_SOUS_SOUS_CRITERES!A:A,B58,PARAM_SOUS_SOUS_CRITERES!D:D)</x:f>
        <x:v>1</x:v>
      </x:c>
      <x:c r="E58" s="9" t="n">
        <x:v>1</x:v>
      </x:c>
      <x:c r="F58" s="9">
        <x:f>D58-E58</x:f>
        <x:v>0</x:v>
      </x:c>
      <x:c r="G58" t="str">
        <x:f>IF(ABS(F58)&lt;0.000001,"OK","A CORRIGER")</x:f>
        <x:v>OK</x:v>
      </x:c>
    </x:row>
    <x:row r="59">
      <x:c r="A59" t="inlineStr">
        <x:is>
          <x:t xml:space="preserve">Sous-critère</x:t>
        </x:is>
      </x:c>
      <x:c r="B59" t="inlineStr">
        <x:is>
          <x:t xml:space="preserve">D3_SC6</x:t>
        </x:is>
      </x:c>
      <x:c r="C59" t="inlineStr">
        <x:is>
          <x:t xml:space="preserve">Interfaces &amp; supply chain</x:t>
        </x:is>
      </x:c>
      <x:c r="D59" s="9">
        <x:f>SUMIF(PARAM_SOUS_SOUS_CRITERES!A:A,B59,PARAM_SOUS_SOUS_CRITERES!D:D)</x:f>
        <x:v>1</x:v>
      </x:c>
      <x:c r="E59" s="9" t="n">
        <x:v>1</x:v>
      </x:c>
      <x:c r="F59" s="9">
        <x:f>D59-E59</x:f>
        <x:v>0</x:v>
      </x:c>
      <x:c r="G59" t="str">
        <x:f>IF(ABS(F59)&lt;0.000001,"OK","A CORRIGER")</x:f>
        <x:v>OK</x:v>
      </x:c>
    </x:row>
    <x:row r="60">
      <x:c r="A60" t="inlineStr">
        <x:is>
          <x:t xml:space="preserve">Sous-critère</x:t>
        </x:is>
      </x:c>
      <x:c r="B60" t="inlineStr">
        <x:is>
          <x:t xml:space="preserve">D3_SC7</x:t>
        </x:is>
      </x:c>
      <x:c r="C60" t="inlineStr">
        <x:is>
          <x:t xml:space="preserve">Insurance</x:t>
        </x:is>
      </x:c>
      <x:c r="D60" s="9">
        <x:f>SUMIF(PARAM_SOUS_SOUS_CRITERES!A:A,B60,PARAM_SOUS_SOUS_CRITERES!D:D)</x:f>
        <x:v>1</x:v>
      </x:c>
      <x:c r="E60" s="9" t="n">
        <x:v>1</x:v>
      </x:c>
      <x:c r="F60" s="9">
        <x:f>D60-E60</x:f>
        <x:v>0</x:v>
      </x:c>
      <x:c r="G60" t="str">
        <x:f>IF(ABS(F60)&lt;0.000001,"OK","A CORRIGER")</x:f>
        <x:v>OK</x:v>
      </x:c>
    </x:row>
    <x:row r="61">
      <x:c r="A61" t="inlineStr">
        <x:is>
          <x:t xml:space="preserve">Sous-critère</x:t>
        </x:is>
      </x:c>
      <x:c r="B61" t="inlineStr">
        <x:is>
          <x:t xml:space="preserve">D3_SC8</x:t>
        </x:is>
      </x:c>
      <x:c r="C61" t="inlineStr">
        <x:is>
          <x:t xml:space="preserve">HSE</x:t>
        </x:is>
      </x:c>
      <x:c r="D61" s="9">
        <x:f>SUMIF(PARAM_SOUS_SOUS_CRITERES!A:A,B61,PARAM_SOUS_SOUS_CRITERES!D:D)</x:f>
        <x:v>1</x:v>
      </x:c>
      <x:c r="E61" s="9" t="n">
        <x:v>1</x:v>
      </x:c>
      <x:c r="F61" s="9">
        <x:f>D61-E61</x:f>
        <x:v>0</x:v>
      </x:c>
      <x:c r="G61" t="str">
        <x:f>IF(ABS(F61)&lt;0.000001,"OK","A CORRIGER")</x:f>
        <x:v>OK</x:v>
      </x:c>
    </x:row>
    <x:row r="62">
      <x:c r="A62" t="inlineStr">
        <x:is>
          <x:t xml:space="preserve">Sous-critère</x:t>
        </x:is>
      </x:c>
      <x:c r="B62" t="inlineStr">
        <x:is>
          <x:t xml:space="preserve">D4_SC1</x:t>
        </x:is>
      </x:c>
      <x:c r="C62" t="inlineStr">
        <x:is>
          <x:t xml:space="preserve">Operator quality</x:t>
        </x:is>
      </x:c>
      <x:c r="D62" s="9">
        <x:f>SUMIF(PARAM_SOUS_SOUS_CRITERES!A:A,B62,PARAM_SOUS_SOUS_CRITERES!D:D)</x:f>
        <x:v>1</x:v>
      </x:c>
      <x:c r="E62" s="9" t="n">
        <x:v>1</x:v>
      </x:c>
      <x:c r="F62" s="9">
        <x:f>D62-E62</x:f>
        <x:v>0</x:v>
      </x:c>
      <x:c r="G62" t="str">
        <x:f>IF(ABS(F62)&lt;0.000001,"OK","A CORRIGER")</x:f>
        <x:v>OK</x:v>
      </x:c>
    </x:row>
    <x:row r="63">
      <x:c r="A63" t="inlineStr">
        <x:is>
          <x:t xml:space="preserve">Sous-critère</x:t>
        </x:is>
      </x:c>
      <x:c r="B63" t="inlineStr">
        <x:is>
          <x:t xml:space="preserve">D4_SC2</x:t>
        </x:is>
      </x:c>
      <x:c r="C63" t="inlineStr">
        <x:is>
          <x:t xml:space="preserve">O&amp;M contract</x:t>
        </x:is>
      </x:c>
      <x:c r="D63" s="9">
        <x:f>SUMIF(PARAM_SOUS_SOUS_CRITERES!A:A,B63,PARAM_SOUS_SOUS_CRITERES!D:D)</x:f>
        <x:v>1</x:v>
      </x:c>
      <x:c r="E63" s="9" t="n">
        <x:v>1</x:v>
      </x:c>
      <x:c r="F63" s="9">
        <x:f>D63-E63</x:f>
        <x:v>0</x:v>
      </x:c>
      <x:c r="G63" t="str">
        <x:f>IF(ABS(F63)&lt;0.000001,"OK","A CORRIGER")</x:f>
        <x:v>OK</x:v>
      </x:c>
    </x:row>
    <x:row r="64">
      <x:c r="A64" t="inlineStr">
        <x:is>
          <x:t xml:space="preserve">Sous-critère</x:t>
        </x:is>
      </x:c>
      <x:c r="B64" t="inlineStr">
        <x:is>
          <x:t xml:space="preserve">D4_SC3</x:t>
        </x:is>
      </x:c>
      <x:c r="C64" t="inlineStr">
        <x:is>
          <x:t xml:space="preserve">Maintenance regime</x:t>
        </x:is>
      </x:c>
      <x:c r="D64" s="9">
        <x:f>SUMIF(PARAM_SOUS_SOUS_CRITERES!A:A,B64,PARAM_SOUS_SOUS_CRITERES!D:D)</x:f>
        <x:v>1</x:v>
      </x:c>
      <x:c r="E64" s="9" t="n">
        <x:v>1</x:v>
      </x:c>
      <x:c r="F64" s="9">
        <x:f>D64-E64</x:f>
        <x:v>0</x:v>
      </x:c>
      <x:c r="G64" t="str">
        <x:f>IF(ABS(F64)&lt;0.000001,"OK","A CORRIGER")</x:f>
        <x:v>OK</x:v>
      </x:c>
    </x:row>
    <x:row r="65">
      <x:c r="A65" t="inlineStr">
        <x:is>
          <x:t xml:space="preserve">Sous-critère</x:t>
        </x:is>
      </x:c>
      <x:c r="B65" t="inlineStr">
        <x:is>
          <x:t xml:space="preserve">D4_SC4</x:t>
        </x:is>
      </x:c>
      <x:c r="C65" t="inlineStr">
        <x:is>
          <x:t xml:space="preserve">Performance stability</x:t>
        </x:is>
      </x:c>
      <x:c r="D65" s="9">
        <x:f>SUMIF(PARAM_SOUS_SOUS_CRITERES!A:A,B65,PARAM_SOUS_SOUS_CRITERES!D:D)</x:f>
        <x:v>1</x:v>
      </x:c>
      <x:c r="E65" s="9" t="n">
        <x:v>1</x:v>
      </x:c>
      <x:c r="F65" s="9">
        <x:f>D65-E65</x:f>
        <x:v>0</x:v>
      </x:c>
      <x:c r="G65" t="str">
        <x:f>IF(ABS(F65)&lt;0.000001,"OK","A CORRIGER")</x:f>
        <x:v>OK</x:v>
      </x:c>
    </x:row>
    <x:row r="66">
      <x:c r="A66" t="inlineStr">
        <x:is>
          <x:t xml:space="preserve">Sous-critère</x:t>
        </x:is>
      </x:c>
      <x:c r="B66" t="inlineStr">
        <x:is>
          <x:t xml:space="preserve">D4_SC5</x:t>
        </x:is>
      </x:c>
      <x:c r="C66" t="inlineStr">
        <x:is>
          <x:t xml:space="preserve">Business continuity</x:t>
        </x:is>
      </x:c>
      <x:c r="D66" s="9">
        <x:f>SUMIF(PARAM_SOUS_SOUS_CRITERES!A:A,B66,PARAM_SOUS_SOUS_CRITERES!D:D)</x:f>
        <x:v>1</x:v>
      </x:c>
      <x:c r="E66" s="9" t="n">
        <x:v>1</x:v>
      </x:c>
      <x:c r="F66" s="9">
        <x:f>D66-E66</x:f>
        <x:v>0</x:v>
      </x:c>
      <x:c r="G66" t="str">
        <x:f>IF(ABS(F66)&lt;0.000001,"OK","A CORRIGER")</x:f>
        <x:v>OK</x:v>
      </x:c>
    </x:row>
    <x:row r="67">
      <x:c r="A67" t="inlineStr">
        <x:is>
          <x:t xml:space="preserve">Sous-critère</x:t>
        </x:is>
      </x:c>
      <x:c r="B67" t="inlineStr">
        <x:is>
          <x:t xml:space="preserve">D4_SC6</x:t>
        </x:is>
      </x:c>
      <x:c r="C67" t="inlineStr">
        <x:is>
          <x:t xml:space="preserve">Coverage</x:t>
        </x:is>
      </x:c>
      <x:c r="D67" s="9">
        <x:f>SUMIF(PARAM_SOUS_SOUS_CRITERES!A:A,B67,PARAM_SOUS_SOUS_CRITERES!D:D)</x:f>
        <x:v>1</x:v>
      </x:c>
      <x:c r="E67" s="9" t="n">
        <x:v>1</x:v>
      </x:c>
      <x:c r="F67" s="9">
        <x:f>D67-E67</x:f>
        <x:v>0</x:v>
      </x:c>
      <x:c r="G67" t="str">
        <x:f>IF(ABS(F67)&lt;0.000001,"OK","A CORRIGER")</x:f>
        <x:v>OK</x:v>
      </x:c>
    </x:row>
    <x:row r="68">
      <x:c r="A68" t="inlineStr">
        <x:is>
          <x:t xml:space="preserve">Sous-critère</x:t>
        </x:is>
      </x:c>
      <x:c r="B68" t="inlineStr">
        <x:is>
          <x:t xml:space="preserve">D5_SC1</x:t>
        </x:is>
      </x:c>
      <x:c r="C68" t="inlineStr">
        <x:is>
          <x:t xml:space="preserve">Capital structure</x:t>
        </x:is>
      </x:c>
      <x:c r="D68" s="9">
        <x:f>SUMIF(PARAM_SOUS_SOUS_CRITERES!A:A,B68,PARAM_SOUS_SOUS_CRITERES!D:D)</x:f>
        <x:v>1</x:v>
      </x:c>
      <x:c r="E68" s="9" t="n">
        <x:v>1</x:v>
      </x:c>
      <x:c r="F68" s="9">
        <x:f>D68-E68</x:f>
        <x:v>0</x:v>
      </x:c>
      <x:c r="G68" t="str">
        <x:f>IF(ABS(F68)&lt;0.000001,"OK","A CORRIGER")</x:f>
        <x:v>OK</x:v>
      </x:c>
    </x:row>
    <x:row r="69">
      <x:c r="A69" t="inlineStr">
        <x:is>
          <x:t xml:space="preserve">Sous-critère</x:t>
        </x:is>
      </x:c>
      <x:c r="B69" t="inlineStr">
        <x:is>
          <x:t xml:space="preserve">D5_SC2</x:t>
        </x:is>
      </x:c>
      <x:c r="C69" t="inlineStr">
        <x:is>
          <x:t xml:space="preserve">Debt profile</x:t>
        </x:is>
      </x:c>
      <x:c r="D69" s="9">
        <x:f>SUMIF(PARAM_SOUS_SOUS_CRITERES!A:A,B69,PARAM_SOUS_SOUS_CRITERES!D:D)</x:f>
        <x:v>1</x:v>
      </x:c>
      <x:c r="E69" s="9" t="n">
        <x:v>1</x:v>
      </x:c>
      <x:c r="F69" s="9">
        <x:f>D69-E69</x:f>
        <x:v>0</x:v>
      </x:c>
      <x:c r="G69" t="str">
        <x:f>IF(ABS(F69)&lt;0.000001,"OK","A CORRIGER")</x:f>
        <x:v>OK</x:v>
      </x:c>
    </x:row>
    <x:row r="70">
      <x:c r="A70" t="inlineStr">
        <x:is>
          <x:t xml:space="preserve">Sous-critère</x:t>
        </x:is>
      </x:c>
      <x:c r="B70" t="inlineStr">
        <x:is>
          <x:t xml:space="preserve">D5_SC3</x:t>
        </x:is>
      </x:c>
      <x:c r="C70" t="inlineStr">
        <x:is>
          <x:t xml:space="preserve">Base case coverage</x:t>
        </x:is>
      </x:c>
      <x:c r="D70" s="9">
        <x:f>SUMIF(PARAM_SOUS_SOUS_CRITERES!A:A,B70,PARAM_SOUS_SOUS_CRITERES!D:D)</x:f>
        <x:v>1</x:v>
      </x:c>
      <x:c r="E70" s="9" t="n">
        <x:v>1</x:v>
      </x:c>
      <x:c r="F70" s="9">
        <x:f>D70-E70</x:f>
        <x:v>0</x:v>
      </x:c>
      <x:c r="G70" t="str">
        <x:f>IF(ABS(F70)&lt;0.000001,"OK","A CORRIGER")</x:f>
        <x:v>OK</x:v>
      </x:c>
    </x:row>
    <x:row r="71">
      <x:c r="A71" t="inlineStr">
        <x:is>
          <x:t xml:space="preserve">Sous-critère</x:t>
        </x:is>
      </x:c>
      <x:c r="B71" t="inlineStr">
        <x:is>
          <x:t xml:space="preserve">D5_SC4</x:t>
        </x:is>
      </x:c>
      <x:c r="C71" t="inlineStr">
        <x:is>
          <x:t xml:space="preserve">Stress resilience</x:t>
        </x:is>
      </x:c>
      <x:c r="D71" s="9">
        <x:f>SUMIF(PARAM_SOUS_SOUS_CRITERES!A:A,B71,PARAM_SOUS_SOUS_CRITERES!D:D)</x:f>
        <x:v>1</x:v>
      </x:c>
      <x:c r="E71" s="9" t="n">
        <x:v>1</x:v>
      </x:c>
      <x:c r="F71" s="9">
        <x:f>D71-E71</x:f>
        <x:v>0</x:v>
      </x:c>
      <x:c r="G71" t="str">
        <x:f>IF(ABS(F71)&lt;0.000001,"OK","A CORRIGER")</x:f>
        <x:v>OK</x:v>
      </x:c>
    </x:row>
    <x:row r="72">
      <x:c r="A72" t="inlineStr">
        <x:is>
          <x:t xml:space="preserve">Sous-critère</x:t>
        </x:is>
      </x:c>
      <x:c r="B72" t="inlineStr">
        <x:is>
          <x:t xml:space="preserve">D5_SC5</x:t>
        </x:is>
      </x:c>
      <x:c r="C72" t="inlineStr">
        <x:is>
          <x:t xml:space="preserve">Liquidity support</x:t>
        </x:is>
      </x:c>
      <x:c r="D72" s="9">
        <x:f>SUMIF(PARAM_SOUS_SOUS_CRITERES!A:A,B72,PARAM_SOUS_SOUS_CRITERES!D:D)</x:f>
        <x:v>1</x:v>
      </x:c>
      <x:c r="E72" s="9" t="n">
        <x:v>1</x:v>
      </x:c>
      <x:c r="F72" s="9">
        <x:f>D72-E72</x:f>
        <x:v>0</x:v>
      </x:c>
      <x:c r="G72" t="str">
        <x:f>IF(ABS(F72)&lt;0.000001,"OK","A CORRIGER")</x:f>
        <x:v>OK</x:v>
      </x:c>
    </x:row>
    <x:row r="73">
      <x:c r="A73" t="inlineStr">
        <x:is>
          <x:t xml:space="preserve">Sous-critère</x:t>
        </x:is>
      </x:c>
      <x:c r="B73" t="inlineStr">
        <x:is>
          <x:t xml:space="preserve">D5_SC6</x:t>
        </x:is>
      </x:c>
      <x:c r="C73" t="inlineStr">
        <x:is>
          <x:t xml:space="preserve">Covenants</x:t>
        </x:is>
      </x:c>
      <x:c r="D73" s="9">
        <x:f>SUMIF(PARAM_SOUS_SOUS_CRITERES!A:A,B73,PARAM_SOUS_SOUS_CRITERES!D:D)</x:f>
        <x:v>1</x:v>
      </x:c>
      <x:c r="E73" s="9" t="n">
        <x:v>1</x:v>
      </x:c>
      <x:c r="F73" s="9">
        <x:f>D73-E73</x:f>
        <x:v>0</x:v>
      </x:c>
      <x:c r="G73" t="str">
        <x:f>IF(ABS(F73)&lt;0.000001,"OK","A CORRIGER")</x:f>
        <x:v>OK</x:v>
      </x:c>
    </x:row>
    <x:row r="74">
      <x:c r="A74" t="inlineStr">
        <x:is>
          <x:t xml:space="preserve">Sous-critère</x:t>
        </x:is>
      </x:c>
      <x:c r="B74" t="inlineStr">
        <x:is>
          <x:t xml:space="preserve">D5_SC7</x:t>
        </x:is>
      </x:c>
      <x:c r="C74" t="inlineStr">
        <x:is>
          <x:t xml:space="preserve">Distribution lock-up</x:t>
        </x:is>
      </x:c>
      <x:c r="D74" s="9">
        <x:f>SUMIF(PARAM_SOUS_SOUS_CRITERES!A:A,B74,PARAM_SOUS_SOUS_CRITERES!D:D)</x:f>
        <x:v>1</x:v>
      </x:c>
      <x:c r="E74" s="9" t="n">
        <x:v>1</x:v>
      </x:c>
      <x:c r="F74" s="9">
        <x:f>D74-E74</x:f>
        <x:v>0</x:v>
      </x:c>
      <x:c r="G74" t="str">
        <x:f>IF(ABS(F74)&lt;0.000001,"OK","A CORRIGER")</x:f>
        <x:v>OK</x:v>
      </x:c>
    </x:row>
    <x:row r="75">
      <x:c r="A75" t="inlineStr">
        <x:is>
          <x:t xml:space="preserve">Sous-critère</x:t>
        </x:is>
      </x:c>
      <x:c r="B75" t="inlineStr">
        <x:is>
          <x:t xml:space="preserve">D6_SC1</x:t>
        </x:is>
      </x:c>
      <x:c r="C75" t="inlineStr">
        <x:is>
          <x:t xml:space="preserve">Demand/revenue visibility</x:t>
        </x:is>
      </x:c>
      <x:c r="D75" s="9">
        <x:f>SUMIF(PARAM_SOUS_SOUS_CRITERES!A:A,B75,PARAM_SOUS_SOUS_CRITERES!D:D)</x:f>
        <x:v>1</x:v>
      </x:c>
      <x:c r="E75" s="9" t="n">
        <x:v>1</x:v>
      </x:c>
      <x:c r="F75" s="9">
        <x:f>D75-E75</x:f>
        <x:v>0</x:v>
      </x:c>
      <x:c r="G75" t="str">
        <x:f>IF(ABS(F75)&lt;0.000001,"OK","A CORRIGER")</x:f>
        <x:v>OK</x:v>
      </x:c>
    </x:row>
    <x:row r="76">
      <x:c r="A76" t="inlineStr">
        <x:is>
          <x:t xml:space="preserve">Sous-critère</x:t>
        </x:is>
      </x:c>
      <x:c r="B76" t="inlineStr">
        <x:is>
          <x:t xml:space="preserve">D6_SC2</x:t>
        </x:is>
      </x:c>
      <x:c r="C76" t="inlineStr">
        <x:is>
          <x:t xml:space="preserve">Price stability</x:t>
        </x:is>
      </x:c>
      <x:c r="D76" s="9">
        <x:f>SUMIF(PARAM_SOUS_SOUS_CRITERES!A:A,B76,PARAM_SOUS_SOUS_CRITERES!D:D)</x:f>
        <x:v>1</x:v>
      </x:c>
      <x:c r="E76" s="9" t="n">
        <x:v>1</x:v>
      </x:c>
      <x:c r="F76" s="9">
        <x:f>D76-E76</x:f>
        <x:v>0</x:v>
      </x:c>
      <x:c r="G76" t="str">
        <x:f>IF(ABS(F76)&lt;0.000001,"OK","A CORRIGER")</x:f>
        <x:v>OK</x:v>
      </x:c>
    </x:row>
    <x:row r="77">
      <x:c r="A77" t="inlineStr">
        <x:is>
          <x:t xml:space="preserve">Sous-critère</x:t>
        </x:is>
      </x:c>
      <x:c r="B77" t="inlineStr">
        <x:is>
          <x:t xml:space="preserve">D6_SC3</x:t>
        </x:is>
      </x:c>
      <x:c r="C77" t="inlineStr">
        <x:is>
          <x:t xml:space="preserve">Counterparty credit quality</x:t>
        </x:is>
      </x:c>
      <x:c r="D77" s="9">
        <x:f>SUMIF(PARAM_SOUS_SOUS_CRITERES!A:A,B77,PARAM_SOUS_SOUS_CRITERES!D:D)</x:f>
        <x:v>1</x:v>
      </x:c>
      <x:c r="E77" s="9" t="n">
        <x:v>1</x:v>
      </x:c>
      <x:c r="F77" s="9">
        <x:f>D77-E77</x:f>
        <x:v>0</x:v>
      </x:c>
      <x:c r="G77" t="str">
        <x:f>IF(ABS(F77)&lt;0.000001,"OK","A CORRIGER")</x:f>
        <x:v>OK</x:v>
      </x:c>
    </x:row>
    <x:row r="78">
      <x:c r="A78" t="inlineStr">
        <x:is>
          <x:t xml:space="preserve">Sous-critère</x:t>
        </x:is>
      </x:c>
      <x:c r="B78" t="inlineStr">
        <x:is>
          <x:t xml:space="preserve">D6_SC4</x:t>
        </x:is>
      </x:c>
      <x:c r="C78" t="inlineStr">
        <x:is>
          <x:t xml:space="preserve">Offtake/PPA framework</x:t>
        </x:is>
      </x:c>
      <x:c r="D78" s="9">
        <x:f>SUMIF(PARAM_SOUS_SOUS_CRITERES!A:A,B78,PARAM_SOUS_SOUS_CRITERES!D:D)</x:f>
        <x:v>1</x:v>
      </x:c>
      <x:c r="E78" s="9" t="n">
        <x:v>1</x:v>
      </x:c>
      <x:c r="F78" s="9">
        <x:f>D78-E78</x:f>
        <x:v>0</x:v>
      </x:c>
      <x:c r="G78" t="str">
        <x:f>IF(ABS(F78)&lt;0.000001,"OK","A CORRIGER")</x:f>
        <x:v>OK</x:v>
      </x:c>
    </x:row>
    <x:row r="79">
      <x:c r="A79" t="inlineStr">
        <x:is>
          <x:t xml:space="preserve">Sous-critère</x:t>
        </x:is>
      </x:c>
      <x:c r="B79" t="inlineStr">
        <x:is>
          <x:t xml:space="preserve">D6_SC5</x:t>
        </x:is>
      </x:c>
      <x:c r="C79" t="inlineStr">
        <x:is>
          <x:t xml:space="preserve">Change in law / tariff risk</x:t>
        </x:is>
      </x:c>
      <x:c r="D79" s="9">
        <x:f>SUMIF(PARAM_SOUS_SOUS_CRITERES!A:A,B79,PARAM_SOUS_SOUS_CRITERES!D:D)</x:f>
        <x:v>1</x:v>
      </x:c>
      <x:c r="E79" s="9" t="n">
        <x:v>1</x:v>
      </x:c>
      <x:c r="F79" s="9">
        <x:f>D79-E79</x:f>
        <x:v>0</x:v>
      </x:c>
      <x:c r="G79" t="str">
        <x:f>IF(ABS(F79)&lt;0.000001,"OK","A CORRIGER")</x:f>
        <x:v>OK</x:v>
      </x:c>
    </x:row>
    <x:row r="80">
      <x:c r="A80" t="inlineStr">
        <x:is>
          <x:t xml:space="preserve">Sous-critère</x:t>
        </x:is>
      </x:c>
      <x:c r="B80" t="inlineStr">
        <x:is>
          <x:t xml:space="preserve">D6_SC6</x:t>
        </x:is>
      </x:c>
      <x:c r="C80" t="inlineStr">
        <x:is>
          <x:t xml:space="preserve">Input supply quality</x:t>
        </x:is>
      </x:c>
      <x:c r="D80" s="9">
        <x:f>SUMIF(PARAM_SOUS_SOUS_CRITERES!A:A,B80,PARAM_SOUS_SOUS_CRITERES!D:D)</x:f>
        <x:v>1</x:v>
      </x:c>
      <x:c r="E80" s="9" t="n">
        <x:v>1</x:v>
      </x:c>
      <x:c r="F80" s="9">
        <x:f>D80-E80</x:f>
        <x:v>0</x:v>
      </x:c>
      <x:c r="G80" t="str">
        <x:f>IF(ABS(F80)&lt;0.000001,"OK","A CORRIGER")</x:f>
        <x:v>OK</x:v>
      </x:c>
    </x:row>
    <x:row r="81">
      <x:c r="A81" t="inlineStr">
        <x:is>
          <x:t xml:space="preserve">Sous-critère</x:t>
        </x:is>
      </x:c>
      <x:c r="B81" t="inlineStr">
        <x:is>
          <x:t xml:space="preserve">D7_SC1</x:t>
        </x:is>
      </x:c>
      <x:c r="C81" t="inlineStr">
        <x:is>
          <x:t xml:space="preserve">Construction risks allocation</x:t>
        </x:is>
      </x:c>
      <x:c r="D81" s="9">
        <x:f>SUMIF(PARAM_SOUS_SOUS_CRITERES!A:A,B81,PARAM_SOUS_SOUS_CRITERES!D:D)</x:f>
        <x:v>1</x:v>
      </x:c>
      <x:c r="E81" s="9" t="n">
        <x:v>1</x:v>
      </x:c>
      <x:c r="F81" s="9">
        <x:f>D81-E81</x:f>
        <x:v>0</x:v>
      </x:c>
      <x:c r="G81" t="str">
        <x:f>IF(ABS(F81)&lt;0.000001,"OK","A CORRIGER")</x:f>
        <x:v>OK</x:v>
      </x:c>
    </x:row>
    <x:row r="82">
      <x:c r="A82" t="inlineStr">
        <x:is>
          <x:t xml:space="preserve">Sous-critère</x:t>
        </x:is>
      </x:c>
      <x:c r="B82" t="inlineStr">
        <x:is>
          <x:t xml:space="preserve">D7_SC2</x:t>
        </x:is>
      </x:c>
      <x:c r="C82" t="inlineStr">
        <x:is>
          <x:t xml:space="preserve">Operating risks allocation</x:t>
        </x:is>
      </x:c>
      <x:c r="D82" s="9">
        <x:f>SUMIF(PARAM_SOUS_SOUS_CRITERES!A:A,B82,PARAM_SOUS_SOUS_CRITERES!D:D)</x:f>
        <x:v>1</x:v>
      </x:c>
      <x:c r="E82" s="9" t="n">
        <x:v>1</x:v>
      </x:c>
      <x:c r="F82" s="9">
        <x:f>D82-E82</x:f>
        <x:v>0</x:v>
      </x:c>
      <x:c r="G82" t="str">
        <x:f>IF(ABS(F82)&lt;0.000001,"OK","A CORRIGER")</x:f>
        <x:v>OK</x:v>
      </x:c>
    </x:row>
    <x:row r="83">
      <x:c r="A83" t="inlineStr">
        <x:is>
          <x:t xml:space="preserve">Sous-critère</x:t>
        </x:is>
      </x:c>
      <x:c r="B83" t="inlineStr">
        <x:is>
          <x:t xml:space="preserve">D7_SC3</x:t>
        </x:is>
      </x:c>
      <x:c r="C83" t="inlineStr">
        <x:is>
          <x:t xml:space="preserve">External risks allocation</x:t>
        </x:is>
      </x:c>
      <x:c r="D83" s="9">
        <x:f>SUMIF(PARAM_SOUS_SOUS_CRITERES!A:A,B83,PARAM_SOUS_SOUS_CRITERES!D:D)</x:f>
        <x:v>1</x:v>
      </x:c>
      <x:c r="E83" s="9" t="n">
        <x:v>1</x:v>
      </x:c>
      <x:c r="F83" s="9">
        <x:f>D83-E83</x:f>
        <x:v>0</x:v>
      </x:c>
      <x:c r="G83" t="str">
        <x:f>IF(ABS(F83)&lt;0.000001,"OK","A CORRIGER")</x:f>
        <x:v>OK</x:v>
      </x:c>
    </x:row>
    <x:row r="84">
      <x:c r="A84" t="inlineStr">
        <x:is>
          <x:t xml:space="preserve">Sous-critère</x:t>
        </x:is>
      </x:c>
      <x:c r="B84" t="inlineStr">
        <x:is>
          <x:t xml:space="preserve">D7_SC4</x:t>
        </x:is>
      </x:c>
      <x:c r="C84" t="inlineStr">
        <x:is>
          <x:t xml:space="preserve">Lender protections</x:t>
        </x:is>
      </x:c>
      <x:c r="D84" s="9">
        <x:f>SUMIF(PARAM_SOUS_SOUS_CRITERES!A:A,B84,PARAM_SOUS_SOUS_CRITERES!D:D)</x:f>
        <x:v>1</x:v>
      </x:c>
      <x:c r="E84" s="9" t="n">
        <x:v>1</x:v>
      </x:c>
      <x:c r="F84" s="9">
        <x:f>D84-E84</x:f>
        <x:v>0</x:v>
      </x:c>
      <x:c r="G84" t="str">
        <x:f>IF(ABS(F84)&lt;0.000001,"OK","A CORRIGER")</x:f>
        <x:v>OK</x:v>
      </x:c>
    </x:row>
    <x:row r="85">
      <x:c r="A85" t="inlineStr">
        <x:is>
          <x:t xml:space="preserve">Sous-critère</x:t>
        </x:is>
      </x:c>
      <x:c r="B85" t="inlineStr">
        <x:is>
          <x:t xml:space="preserve">D7_SC5</x:t>
        </x:is>
      </x:c>
      <x:c r="C85" t="inlineStr">
        <x:is>
          <x:t xml:space="preserve">Residual exposures</x:t>
        </x:is>
      </x:c>
      <x:c r="D85" s="9">
        <x:f>SUMIF(PARAM_SOUS_SOUS_CRITERES!A:A,B85,PARAM_SOUS_SOUS_CRITERES!D:D)</x:f>
        <x:v>1</x:v>
      </x:c>
      <x:c r="E85" s="9" t="n">
        <x:v>1</x:v>
      </x:c>
      <x:c r="F85" s="9">
        <x:f>D85-E85</x:f>
        <x:v>0</x:v>
      </x:c>
      <x:c r="G85" t="str">
        <x:f>IF(ABS(F85)&lt;0.000001,"OK","A CORRIGER")</x:f>
        <x:v>OK</x:v>
      </x:c>
    </x:row>
    <x:row r="86">
      <x:c r="A86" t="inlineStr">
        <x:is>
          <x:t xml:space="preserve">Sous-critère</x:t>
        </x:is>
      </x:c>
      <x:c r="B86" t="inlineStr">
        <x:is>
          <x:t xml:space="preserve">D8_SC1</x:t>
        </x:is>
      </x:c>
      <x:c r="C86" t="inlineStr">
        <x:is>
          <x:t xml:space="preserve">Core finance docs</x:t>
        </x:is>
      </x:c>
      <x:c r="D86" s="9">
        <x:f>SUMIF(PARAM_SOUS_SOUS_CRITERES!A:A,B86,PARAM_SOUS_SOUS_CRITERES!D:D)</x:f>
        <x:v>1</x:v>
      </x:c>
      <x:c r="E86" s="9" t="n">
        <x:v>1</x:v>
      </x:c>
      <x:c r="F86" s="9">
        <x:f>D86-E86</x:f>
        <x:v>0</x:v>
      </x:c>
      <x:c r="G86" t="str">
        <x:f>IF(ABS(F86)&lt;0.000001,"OK","A CORRIGER")</x:f>
        <x:v>OK</x:v>
      </x:c>
    </x:row>
    <x:row r="87">
      <x:c r="A87" t="inlineStr">
        <x:is>
          <x:t xml:space="preserve">Sous-critère</x:t>
        </x:is>
      </x:c>
      <x:c r="B87" t="inlineStr">
        <x:is>
          <x:t xml:space="preserve">D8_SC2</x:t>
        </x:is>
      </x:c>
      <x:c r="C87" t="inlineStr">
        <x:is>
          <x:t xml:space="preserve">Project agreements</x:t>
        </x:is>
      </x:c>
      <x:c r="D87" s="9">
        <x:f>SUMIF(PARAM_SOUS_SOUS_CRITERES!A:A,B87,PARAM_SOUS_SOUS_CRITERES!D:D)</x:f>
        <x:v>1</x:v>
      </x:c>
      <x:c r="E87" s="9" t="n">
        <x:v>1</x:v>
      </x:c>
      <x:c r="F87" s="9">
        <x:f>D87-E87</x:f>
        <x:v>0</x:v>
      </x:c>
      <x:c r="G87" t="str">
        <x:f>IF(ABS(F87)&lt;0.000001,"OK","A CORRIGER")</x:f>
        <x:v>OK</x:v>
      </x:c>
    </x:row>
    <x:row r="88">
      <x:c r="A88" t="inlineStr">
        <x:is>
          <x:t xml:space="preserve">Sous-critère</x:t>
        </x:is>
      </x:c>
      <x:c r="B88" t="inlineStr">
        <x:is>
          <x:t xml:space="preserve">D8_SC3</x:t>
        </x:is>
      </x:c>
      <x:c r="C88" t="inlineStr">
        <x:is>
          <x:t xml:space="preserve">Enforceability</x:t>
        </x:is>
      </x:c>
      <x:c r="D88" s="9">
        <x:f>SUMIF(PARAM_SOUS_SOUS_CRITERES!A:A,B88,PARAM_SOUS_SOUS_CRITERES!D:D)</x:f>
        <x:v>1</x:v>
      </x:c>
      <x:c r="E88" s="9" t="n">
        <x:v>1</x:v>
      </x:c>
      <x:c r="F88" s="9">
        <x:f>D88-E88</x:f>
        <x:v>0</x:v>
      </x:c>
      <x:c r="G88" t="str">
        <x:f>IF(ABS(F88)&lt;0.000001,"OK","A CORRIGER")</x:f>
        <x:v>OK</x:v>
      </x:c>
    </x:row>
    <x:row r="89">
      <x:c r="A89" t="inlineStr">
        <x:is>
          <x:t xml:space="preserve">Sous-critère</x:t>
        </x:is>
      </x:c>
      <x:c r="B89" t="inlineStr">
        <x:is>
          <x:t xml:space="preserve">D8_SC4</x:t>
        </x:is>
      </x:c>
      <x:c r="C89" t="inlineStr">
        <x:is>
          <x:t xml:space="preserve">Legal due diligence</x:t>
        </x:is>
      </x:c>
      <x:c r="D89" s="9">
        <x:f>SUMIF(PARAM_SOUS_SOUS_CRITERES!A:A,B89,PARAM_SOUS_SOUS_CRITERES!D:D)</x:f>
        <x:v>1</x:v>
      </x:c>
      <x:c r="E89" s="9" t="n">
        <x:v>1</x:v>
      </x:c>
      <x:c r="F89" s="9">
        <x:f>D89-E89</x:f>
        <x:v>0</x:v>
      </x:c>
      <x:c r="G89" t="str">
        <x:f>IF(ABS(F89)&lt;0.000001,"OK","A CORRIGER")</x:f>
        <x:v>OK</x:v>
      </x:c>
    </x:row>
    <x:row r="90">
      <x:c r="A90" t="inlineStr">
        <x:is>
          <x:t xml:space="preserve">Sous-critère</x:t>
        </x:is>
      </x:c>
      <x:c r="B90" t="inlineStr">
        <x:is>
          <x:t xml:space="preserve">D8_SC5</x:t>
        </x:is>
      </x:c>
      <x:c r="C90" t="inlineStr">
        <x:is>
          <x:t xml:space="preserve">Compliance status</x:t>
        </x:is>
      </x:c>
      <x:c r="D90" s="9">
        <x:f>SUMIF(PARAM_SOUS_SOUS_CRITERES!A:A,B90,PARAM_SOUS_SOUS_CRITERES!D:D)</x:f>
        <x:v>1</x:v>
      </x:c>
      <x:c r="E90" s="9" t="n">
        <x:v>1</x:v>
      </x:c>
      <x:c r="F90" s="9">
        <x:f>D90-E90</x:f>
        <x:v>0</x:v>
      </x:c>
      <x:c r="G90" t="str">
        <x:f>IF(ABS(F90)&lt;0.000001,"OK","A CORRIGER")</x:f>
        <x:v>OK</x:v>
      </x:c>
    </x:row>
    <x:row r="91">
      <x:c r="A91" t="inlineStr">
        <x:is>
          <x:t xml:space="preserve">Sous-critère</x:t>
        </x:is>
      </x:c>
      <x:c r="B91" t="inlineStr">
        <x:is>
          <x:t xml:space="preserve">D9_SC1</x:t>
        </x:is>
      </x:c>
      <x:c r="C91" t="inlineStr">
        <x:is>
          <x:t xml:space="preserve">Environmental impact</x:t>
        </x:is>
      </x:c>
      <x:c r="D91" s="9">
        <x:f>SUMIF(PARAM_SOUS_SOUS_CRITERES!A:A,B91,PARAM_SOUS_SOUS_CRITERES!D:D)</x:f>
        <x:v>1</x:v>
      </x:c>
      <x:c r="E91" s="9" t="n">
        <x:v>1</x:v>
      </x:c>
      <x:c r="F91" s="9">
        <x:f>D91-E91</x:f>
        <x:v>0</x:v>
      </x:c>
      <x:c r="G91" t="str">
        <x:f>IF(ABS(F91)&lt;0.000001,"OK","A CORRIGER")</x:f>
        <x:v>OK</x:v>
      </x:c>
    </x:row>
    <x:row r="92">
      <x:c r="A92" t="inlineStr">
        <x:is>
          <x:t xml:space="preserve">Sous-critère</x:t>
        </x:is>
      </x:c>
      <x:c r="B92" t="inlineStr">
        <x:is>
          <x:t xml:space="preserve">D9_SC2</x:t>
        </x:is>
      </x:c>
      <x:c r="C92" t="inlineStr">
        <x:is>
          <x:t xml:space="preserve">Physical climate risk</x:t>
        </x:is>
      </x:c>
      <x:c r="D92" s="9">
        <x:f>SUMIF(PARAM_SOUS_SOUS_CRITERES!A:A,B92,PARAM_SOUS_SOUS_CRITERES!D:D)</x:f>
        <x:v>1</x:v>
      </x:c>
      <x:c r="E92" s="9" t="n">
        <x:v>1</x:v>
      </x:c>
      <x:c r="F92" s="9">
        <x:f>D92-E92</x:f>
        <x:v>0</x:v>
      </x:c>
      <x:c r="G92" t="str">
        <x:f>IF(ABS(F92)&lt;0.000001,"OK","A CORRIGER")</x:f>
        <x:v>OK</x:v>
      </x:c>
    </x:row>
    <x:row r="93">
      <x:c r="A93" t="inlineStr">
        <x:is>
          <x:t xml:space="preserve">Sous-critère</x:t>
        </x:is>
      </x:c>
      <x:c r="B93" t="inlineStr">
        <x:is>
          <x:t xml:space="preserve">D9_SC3</x:t>
        </x:is>
      </x:c>
      <x:c r="C93" t="inlineStr">
        <x:is>
          <x:t xml:space="preserve">Transition risk</x:t>
        </x:is>
      </x:c>
      <x:c r="D93" s="9">
        <x:f>SUMIF(PARAM_SOUS_SOUS_CRITERES!A:A,B93,PARAM_SOUS_SOUS_CRITERES!D:D)</x:f>
        <x:v>1</x:v>
      </x:c>
      <x:c r="E93" s="9" t="n">
        <x:v>1</x:v>
      </x:c>
      <x:c r="F93" s="9">
        <x:f>D93-E93</x:f>
        <x:v>0</x:v>
      </x:c>
      <x:c r="G93" t="str">
        <x:f>IF(ABS(F93)&lt;0.000001,"OK","A CORRIGER")</x:f>
        <x:v>OK</x:v>
      </x:c>
    </x:row>
    <x:row r="94">
      <x:c r="A94" t="inlineStr">
        <x:is>
          <x:t xml:space="preserve">Sous-critère</x:t>
        </x:is>
      </x:c>
      <x:c r="B94" t="inlineStr">
        <x:is>
          <x:t xml:space="preserve">D9_SC4</x:t>
        </x:is>
      </x:c>
      <x:c r="C94" t="inlineStr">
        <x:is>
          <x:t xml:space="preserve">Social acceptability</x:t>
        </x:is>
      </x:c>
      <x:c r="D94" s="9">
        <x:f>SUMIF(PARAM_SOUS_SOUS_CRITERES!A:A,B94,PARAM_SOUS_SOUS_CRITERES!D:D)</x:f>
        <x:v>1</x:v>
      </x:c>
      <x:c r="E94" s="9" t="n">
        <x:v>1</x:v>
      </x:c>
      <x:c r="F94" s="9">
        <x:f>D94-E94</x:f>
        <x:v>0</x:v>
      </x:c>
      <x:c r="G94" t="str">
        <x:f>IF(ABS(F94)&lt;0.000001,"OK","A CORRIGER")</x:f>
        <x:v>OK</x:v>
      </x:c>
    </x:row>
    <x:row r="95">
      <x:c r="A95" t="inlineStr">
        <x:is>
          <x:t xml:space="preserve">Sous-critère</x:t>
        </x:is>
      </x:c>
      <x:c r="B95" t="inlineStr">
        <x:is>
          <x:t xml:space="preserve">D9_SC5</x:t>
        </x:is>
      </x:c>
      <x:c r="C95" t="inlineStr">
        <x:is>
          <x:t xml:space="preserve">Stakeholder management</x:t>
        </x:is>
      </x:c>
      <x:c r="D95" s="9">
        <x:f>SUMIF(PARAM_SOUS_SOUS_CRITERES!A:A,B95,PARAM_SOUS_SOUS_CRITERES!D:D)</x:f>
        <x:v>1</x:v>
      </x:c>
      <x:c r="E95" s="9" t="n">
        <x:v>1</x:v>
      </x:c>
      <x:c r="F95" s="9">
        <x:f>D95-E95</x:f>
        <x:v>0</x:v>
      </x:c>
      <x:c r="G95" t="str">
        <x:f>IF(ABS(F95)&lt;0.000001,"OK","A CORRIGER")</x:f>
        <x:v>OK</x:v>
      </x:c>
    </x:row>
    <x:row r="96">
      <x:c r="A96" t="inlineStr">
        <x:is>
          <x:t xml:space="preserve">Sous-critère</x:t>
        </x:is>
      </x:c>
      <x:c r="B96" t="inlineStr">
        <x:is>
          <x:t xml:space="preserve">D9_SC6</x:t>
        </x:is>
      </x:c>
      <x:c r="C96" t="inlineStr">
        <x:is>
          <x:t xml:space="preserve">ESG management system</x:t>
        </x:is>
      </x:c>
      <x:c r="D96" s="9">
        <x:f>SUMIF(PARAM_SOUS_SOUS_CRITERES!A:A,B96,PARAM_SOUS_SOUS_CRITERES!D:D)</x:f>
        <x:v>1</x:v>
      </x:c>
      <x:c r="E96" s="9" t="n">
        <x:v>1</x:v>
      </x:c>
      <x:c r="F96" s="9">
        <x:f>D96-E96</x:f>
        <x:v>0</x:v>
      </x:c>
      <x:c r="G96" t="str">
        <x:f>IF(ABS(F96)&lt;0.000001,"OK","A CORRIGER")</x:f>
        <x:v>OK</x:v>
      </x:c>
    </x:row>
    <x:row r="97">
      <x:c r="A97" t="inlineStr">
        <x:is>
          <x:t xml:space="preserve">Sous-critère</x:t>
        </x:is>
      </x:c>
      <x:c r="B97" t="inlineStr">
        <x:is>
          <x:t xml:space="preserve">D9_SC7</x:t>
        </x:is>
      </x:c>
      <x:c r="C97" t="inlineStr">
        <x:is>
          <x:t xml:space="preserve">Climate governance</x:t>
        </x:is>
      </x:c>
      <x:c r="D97" s="9">
        <x:f>SUMIF(PARAM_SOUS_SOUS_CRITERES!A:A,B97,PARAM_SOUS_SOUS_CRITERES!D:D)</x:f>
        <x:v>1</x:v>
      </x:c>
      <x:c r="E97" s="9" t="n">
        <x:v>1</x:v>
      </x:c>
      <x:c r="F97" s="9">
        <x:f>D97-E97</x:f>
        <x:v>0</x:v>
      </x:c>
      <x:c r="G97" t="str">
        <x:f>IF(ABS(F97)&lt;0.000001,"OK","A CORRIGER")</x:f>
        <x:v>OK</x:v>
      </x:c>
    </x:row>
    <x:row r="98">
      <x:c r="A98" t="inlineStr">
        <x:is>
          <x:t xml:space="preserve">Global</x:t>
        </x:is>
      </x:c>
      <x:c r="B98" t="inlineStr">
        <x:is>
          <x:t xml:space="preserve">ALL</x:t>
        </x:is>
      </x:c>
      <x:c r="C98" t="inlineStr">
        <x:is>
          <x:t xml:space="preserve">Somme des poids globaux</x:t>
        </x:is>
      </x:c>
      <x:c r="D98" s="9">
        <x:f>SUM(MATRICE_COMPLETE!P:P)</x:f>
        <x:v>0.9999999999999991</x:v>
      </x:c>
      <x:c r="E98" s="9" t="n">
        <x:v>1</x:v>
      </x:c>
      <x:c r="F98" s="9">
        <x:f>D98-E98</x:f>
        <x:v>-8.881784197001252e-16</x:v>
      </x:c>
      <x:c r="G98" t="str">
        <x:f>IF(ABS(F98)&lt;0.000001,"OK","A CORRIGER")</x:f>
        <x:v>OK</x:v>
      </x:c>
    </x:row>
  </x:sheetData>
  <x:mergeCells>
    <x:mergeCell ref="A1:G1"/>
  </x:mergeCells>
  <x:pageMargins left="0.7" right="0.7" top="0.75" bottom="0.75" header="0.3" footer="0.3"/>
  <x:tableParts count="1">
    <x:tablePart xmlns:r="http://schemas.openxmlformats.org/officeDocument/2006/relationships" r:id="Raab760b0d5cf4360"/>
  </x:tableParts>
</x:worksheet>
</file>